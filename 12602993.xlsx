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showObjects="none"/>
  <mc:AlternateContent xmlns:mc="http://schemas.openxmlformats.org/markup-compatibility/2006">
    <mc:Choice Requires="x15">
      <x15ac:absPath xmlns:x15ac="http://schemas.microsoft.com/office/spreadsheetml/2010/11/ac" url="E:\CAP776\dataset\"/>
    </mc:Choice>
  </mc:AlternateContent>
  <xr:revisionPtr revIDLastSave="0" documentId="13_ncr:1_{397DEABA-5F93-4228-B0F4-1FD118BD1A09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2" i="2" l="1"/>
  <c r="J10" i="2"/>
  <c r="J9" i="2"/>
  <c r="J8" i="2"/>
  <c r="J7" i="2"/>
  <c r="J21" i="2"/>
  <c r="J20" i="2"/>
  <c r="J19" i="2"/>
  <c r="J18" i="2"/>
  <c r="J17" i="2"/>
  <c r="J16" i="2"/>
  <c r="J15" i="2"/>
  <c r="J14" i="2"/>
  <c r="J13" i="2"/>
  <c r="J11" i="2"/>
  <c r="J22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J23" i="2" s="1"/>
  <c r="I24" i="2"/>
  <c r="I25" i="2"/>
  <c r="I26" i="2"/>
  <c r="J26" i="2" s="1"/>
  <c r="I27" i="2"/>
  <c r="J27" i="2" s="1"/>
  <c r="I28" i="2"/>
  <c r="I29" i="2"/>
  <c r="I30" i="2"/>
  <c r="I31" i="2"/>
  <c r="J31" i="2" s="1"/>
  <c r="I32" i="2"/>
  <c r="J32" i="2" s="1"/>
  <c r="I33" i="2"/>
  <c r="I34" i="2"/>
  <c r="I35" i="2"/>
  <c r="I36" i="2"/>
  <c r="J36" i="2" s="1"/>
  <c r="I37" i="2"/>
  <c r="I38" i="2"/>
  <c r="I39" i="2"/>
  <c r="I40" i="2"/>
  <c r="I41" i="2"/>
  <c r="J41" i="2" s="1"/>
  <c r="I42" i="2"/>
  <c r="J42" i="2" s="1"/>
  <c r="I43" i="2"/>
  <c r="J43" i="2" s="1"/>
  <c r="I44" i="2"/>
  <c r="I45" i="2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I54" i="2"/>
  <c r="I55" i="2"/>
  <c r="I56" i="2"/>
  <c r="J56" i="2" s="1"/>
  <c r="I57" i="2"/>
  <c r="I58" i="2"/>
  <c r="I59" i="2"/>
  <c r="I60" i="2"/>
  <c r="I61" i="2"/>
  <c r="J61" i="2" s="1"/>
  <c r="I62" i="2"/>
  <c r="J62" i="2" s="1"/>
  <c r="I63" i="2"/>
  <c r="J63" i="2" s="1"/>
  <c r="I64" i="2"/>
  <c r="I65" i="2"/>
  <c r="J65" i="2" s="1"/>
  <c r="I66" i="2"/>
  <c r="J66" i="2" s="1"/>
  <c r="I67" i="2"/>
  <c r="J67" i="2" s="1"/>
  <c r="I68" i="2"/>
  <c r="I69" i="2"/>
  <c r="I70" i="2"/>
  <c r="I71" i="2"/>
  <c r="J71" i="2" s="1"/>
  <c r="I72" i="2"/>
  <c r="J72" i="2" s="1"/>
  <c r="I73" i="2"/>
  <c r="I74" i="2"/>
  <c r="I75" i="2"/>
  <c r="I76" i="2"/>
  <c r="J76" i="2" s="1"/>
  <c r="I77" i="2"/>
  <c r="I78" i="2"/>
  <c r="I79" i="2"/>
  <c r="I80" i="2"/>
  <c r="I81" i="2"/>
  <c r="J81" i="2" s="1"/>
  <c r="I82" i="2"/>
  <c r="J82" i="2" s="1"/>
  <c r="I83" i="2"/>
  <c r="J83" i="2" s="1"/>
  <c r="I84" i="2"/>
  <c r="I85" i="2"/>
  <c r="J85" i="2" s="1"/>
  <c r="I86" i="2"/>
  <c r="J86" i="2" s="1"/>
  <c r="I87" i="2"/>
  <c r="J87" i="2" s="1"/>
  <c r="I88" i="2"/>
  <c r="I89" i="2"/>
  <c r="I90" i="2"/>
  <c r="I91" i="2"/>
  <c r="J91" i="2" s="1"/>
  <c r="I92" i="2"/>
  <c r="J92" i="2" s="1"/>
  <c r="I93" i="2"/>
  <c r="I94" i="2"/>
  <c r="I95" i="2"/>
  <c r="I96" i="2"/>
  <c r="J96" i="2" s="1"/>
  <c r="I97" i="2"/>
  <c r="I98" i="2"/>
  <c r="I99" i="2"/>
  <c r="I100" i="2"/>
  <c r="I7" i="2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J100" i="2"/>
  <c r="J99" i="2"/>
  <c r="J98" i="2"/>
  <c r="J97" i="2"/>
  <c r="J95" i="2"/>
  <c r="J94" i="2"/>
  <c r="J93" i="2"/>
  <c r="J90" i="2"/>
  <c r="J89" i="2"/>
  <c r="J88" i="2"/>
  <c r="J84" i="2"/>
  <c r="J80" i="2"/>
  <c r="J79" i="2"/>
  <c r="J78" i="2"/>
  <c r="J77" i="2"/>
  <c r="J75" i="2"/>
  <c r="J74" i="2"/>
  <c r="J73" i="2"/>
  <c r="J70" i="2"/>
  <c r="J69" i="2"/>
  <c r="J68" i="2"/>
  <c r="J64" i="2"/>
  <c r="J60" i="2"/>
  <c r="J59" i="2"/>
  <c r="J58" i="2"/>
  <c r="J57" i="2"/>
  <c r="J55" i="2"/>
  <c r="J54" i="2"/>
  <c r="J53" i="2"/>
  <c r="J45" i="2"/>
  <c r="J44" i="2"/>
  <c r="J40" i="2"/>
  <c r="J39" i="2"/>
  <c r="J38" i="2"/>
  <c r="J37" i="2"/>
  <c r="J35" i="2"/>
  <c r="J34" i="2"/>
  <c r="J33" i="2"/>
  <c r="J30" i="2"/>
  <c r="J29" i="2"/>
  <c r="J28" i="2"/>
  <c r="J25" i="2"/>
  <c r="J24" i="2"/>
  <c r="I6" i="2"/>
  <c r="J6" i="2" l="1"/>
</calcChain>
</file>

<file path=xl/sharedStrings.xml><?xml version="1.0" encoding="utf-8"?>
<sst xmlns="http://schemas.openxmlformats.org/spreadsheetml/2006/main" count="241" uniqueCount="78">
  <si>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</si>
  <si>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</si>
  <si>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</si>
  <si>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</si>
  <si>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</si>
  <si>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</si>
  <si>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</si>
  <si>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</si>
  <si>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</si>
  <si>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</si>
  <si>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</si>
  <si>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</si>
  <si>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</si>
  <si>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</si>
  <si>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</si>
  <si>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</si>
  <si>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</si>
  <si>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</si>
  <si>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</si>
  <si>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</si>
  <si>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</si>
  <si>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</si>
  <si>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</si>
  <si>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</si>
  <si>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</si>
  <si>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</si>
  <si>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</si>
  <si>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</si>
  <si>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</si>
  <si>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</si>
  <si>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</si>
  <si>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</si>
  <si>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</si>
  <si>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</si>
  <si>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</si>
  <si>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</si>
  <si>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</si>
  <si>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</si>
  <si>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</si>
  <si>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</si>
  <si>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</si>
  <si>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</si>
  <si>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</si>
  <si>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</si>
  <si>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</si>
  <si>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</si>
  <si>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</si>
  <si>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</si>
  <si>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</si>
  <si>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</si>
  <si>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</si>
  <si>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</si>
  <si>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</si>
  <si>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</si>
  <si>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Soumya Ranjan Pradhan</t>
  </si>
  <si>
    <t>MCA/D1P2636</t>
  </si>
  <si>
    <t>September</t>
  </si>
  <si>
    <t>Neutral</t>
  </si>
  <si>
    <t>Excellent</t>
  </si>
  <si>
    <t>Low</t>
  </si>
  <si>
    <t>Stressed</t>
  </si>
  <si>
    <t>Unsatisfied</t>
  </si>
  <si>
    <t>High</t>
  </si>
  <si>
    <t>Felt low about my studies and I need to work harder</t>
  </si>
  <si>
    <t>Nothing special happened. Grateful</t>
  </si>
  <si>
    <t xml:space="preserve">Learned something new </t>
  </si>
  <si>
    <t>Relaxed and calm.</t>
  </si>
  <si>
    <t>Felt happy.</t>
  </si>
  <si>
    <t>Felt happy for no reason</t>
  </si>
  <si>
    <t>Spent some good times and Eastwood village.</t>
  </si>
  <si>
    <t>Felt grateful for today.</t>
  </si>
  <si>
    <t>Tired and no time management.</t>
  </si>
  <si>
    <t>Took some time for myself and grateful for everything.</t>
  </si>
  <si>
    <t>Very Satisfied</t>
  </si>
  <si>
    <t>Tired  and too much classes.</t>
  </si>
  <si>
    <t>Day was positive.</t>
  </si>
  <si>
    <t>Well spent day.</t>
  </si>
  <si>
    <t>Travelled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</si>
</sst>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64" fontId="12" fillId="2" borderId="1" xfId="0" applyNumberFormat="1" applyFont="1" applyFill="1" applyBorder="1" applyAlignment="1">
      <alignment horizontal="center" vertical="center" wrapText="1"/>
    </xf>
    <xf numFmtId="0" fontId="8" fillId="0" borderId="2" xfId="0" applyFont="1" applyBorder="1"/>
    <xf numFmtId="0" fontId="6" fillId="0" borderId="0" xfId="0" applyFont="1"/>
    <xf numFmtId="0" fontId="0" fillId="2" borderId="3" xfId="0" applyFill="1" applyBorder="1"/>
    <xf numFmtId="0" fontId="0" fillId="2" borderId="5" xfId="0" applyFill="1" applyBorder="1"/>
    <xf numFmtId="0" fontId="0" fillId="2" borderId="4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7"/>
  <sheetViews>
    <sheetView showGridLines="0" tabSelected="1" zoomScale="88" zoomScaleNormal="40" workbookViewId="0">
      <pane xSplit="1" ySplit="5" topLeftCell="B45" activePane="bottomRight" state="frozen"/>
      <selection pane="topRight" activeCell="B1" sqref="B1"/>
      <selection pane="bottomLeft" activeCell="A6" sqref="A6"/>
      <selection pane="bottomRight" activeCell="N52" sqref="N5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9.5" customHeight="1" x14ac:dyDescent="0.3">
      <c r="A2" s="6" t="s">
        <v>30</v>
      </c>
      <c r="B2" s="21" t="s">
        <v>54</v>
      </c>
      <c r="C2" s="22"/>
      <c r="D2" s="23"/>
      <c r="E2" s="6" t="s">
        <v>31</v>
      </c>
      <c r="F2" s="21">
        <v>12602993</v>
      </c>
      <c r="G2" s="23"/>
    </row>
    <row r="3" spans="1:14" ht="19.5" customHeight="1" x14ac:dyDescent="0.3">
      <c r="A3" s="6" t="s">
        <v>32</v>
      </c>
      <c r="B3" s="21" t="s">
        <v>55</v>
      </c>
      <c r="C3" s="22"/>
      <c r="D3" s="23"/>
      <c r="E3" s="6" t="s">
        <v>33</v>
      </c>
      <c r="F3" s="21" t="s">
        <v>56</v>
      </c>
      <c r="G3" s="23"/>
    </row>
    <row r="4" spans="1:14" x14ac:dyDescent="0.3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" si="0">IF(SUM(B6:F6,H6)=0,"",SUM(B6:F6,H6))</f>
        <v>885</v>
      </c>
      <c r="J6" s="10">
        <f t="shared" ref="J6:J85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46250</v>
      </c>
      <c r="B7" s="14">
        <v>420</v>
      </c>
      <c r="C7" s="14">
        <v>10</v>
      </c>
      <c r="D7" s="14">
        <v>0</v>
      </c>
      <c r="E7" s="14">
        <v>0</v>
      </c>
      <c r="F7" s="14">
        <v>0</v>
      </c>
      <c r="G7" s="14">
        <v>0</v>
      </c>
      <c r="H7" s="14">
        <v>20</v>
      </c>
      <c r="I7" s="15">
        <f>IF(SUM(B7:F7,H7)=0,"",SUM(B7:F7,H7))</f>
        <v>450</v>
      </c>
      <c r="J7" s="15">
        <f t="shared" si="1"/>
        <v>990</v>
      </c>
      <c r="K7" s="16" t="s">
        <v>57</v>
      </c>
      <c r="L7" s="16" t="s">
        <v>50</v>
      </c>
      <c r="M7" s="16" t="s">
        <v>51</v>
      </c>
      <c r="N7" s="17" t="s">
        <v>65</v>
      </c>
    </row>
    <row r="8" spans="1:14" x14ac:dyDescent="0.3">
      <c r="A8" s="13">
        <v>46251</v>
      </c>
      <c r="B8" s="14">
        <v>480</v>
      </c>
      <c r="C8" s="14">
        <v>20</v>
      </c>
      <c r="D8" s="14">
        <v>30</v>
      </c>
      <c r="E8" s="14">
        <v>0</v>
      </c>
      <c r="F8" s="14">
        <v>250</v>
      </c>
      <c r="G8" s="14">
        <v>5</v>
      </c>
      <c r="H8" s="14">
        <v>15</v>
      </c>
      <c r="I8" s="15">
        <f t="shared" ref="I8:I71" si="2">IF(SUM(B8:F8,H8)=0,"",SUM(B8:F8,H8))</f>
        <v>795</v>
      </c>
      <c r="J8" s="15">
        <f t="shared" si="1"/>
        <v>645</v>
      </c>
      <c r="K8" s="16" t="s">
        <v>49</v>
      </c>
      <c r="L8" s="16" t="s">
        <v>57</v>
      </c>
      <c r="M8" s="16" t="s">
        <v>59</v>
      </c>
      <c r="N8" s="17" t="s">
        <v>66</v>
      </c>
    </row>
    <row r="9" spans="1:14" x14ac:dyDescent="0.3">
      <c r="A9" s="13">
        <v>46252</v>
      </c>
      <c r="B9" s="14">
        <v>450</v>
      </c>
      <c r="C9" s="14">
        <v>20</v>
      </c>
      <c r="D9" s="14">
        <v>0</v>
      </c>
      <c r="E9" s="14">
        <v>10</v>
      </c>
      <c r="F9" s="14">
        <v>350</v>
      </c>
      <c r="G9" s="14">
        <v>7</v>
      </c>
      <c r="H9" s="14">
        <v>60</v>
      </c>
      <c r="I9" s="15">
        <f t="shared" si="2"/>
        <v>890</v>
      </c>
      <c r="J9" s="15">
        <f t="shared" si="1"/>
        <v>550</v>
      </c>
      <c r="K9" s="16" t="s">
        <v>57</v>
      </c>
      <c r="L9" s="16" t="s">
        <v>61</v>
      </c>
      <c r="M9" s="16" t="s">
        <v>51</v>
      </c>
      <c r="N9" s="17" t="s">
        <v>65</v>
      </c>
    </row>
    <row r="10" spans="1:14" x14ac:dyDescent="0.3">
      <c r="A10" s="13">
        <v>46253</v>
      </c>
      <c r="B10" s="14">
        <v>380</v>
      </c>
      <c r="C10" s="14">
        <v>10</v>
      </c>
      <c r="D10" s="14">
        <v>0</v>
      </c>
      <c r="E10" s="14">
        <v>20</v>
      </c>
      <c r="F10" s="14">
        <v>300</v>
      </c>
      <c r="G10" s="14">
        <v>6</v>
      </c>
      <c r="H10" s="14">
        <v>45</v>
      </c>
      <c r="I10" s="15">
        <f t="shared" si="2"/>
        <v>755</v>
      </c>
      <c r="J10" s="15">
        <f t="shared" si="1"/>
        <v>685</v>
      </c>
      <c r="K10" s="16" t="s">
        <v>49</v>
      </c>
      <c r="L10" s="16" t="s">
        <v>57</v>
      </c>
      <c r="M10" s="16" t="s">
        <v>62</v>
      </c>
      <c r="N10" s="17" t="s">
        <v>71</v>
      </c>
    </row>
    <row r="11" spans="1:14" x14ac:dyDescent="0.3">
      <c r="A11" s="13">
        <v>46254</v>
      </c>
      <c r="B11" s="14">
        <v>360</v>
      </c>
      <c r="C11" s="14">
        <v>30</v>
      </c>
      <c r="D11" s="14">
        <v>60</v>
      </c>
      <c r="E11" s="14">
        <v>0</v>
      </c>
      <c r="F11" s="14">
        <v>240</v>
      </c>
      <c r="G11" s="14">
        <v>4</v>
      </c>
      <c r="H11" s="14">
        <v>20</v>
      </c>
      <c r="I11" s="15">
        <f t="shared" si="2"/>
        <v>710</v>
      </c>
      <c r="J11" s="15">
        <f t="shared" si="1"/>
        <v>730</v>
      </c>
      <c r="K11" s="16" t="s">
        <v>57</v>
      </c>
      <c r="L11" s="16" t="s">
        <v>50</v>
      </c>
      <c r="M11" s="16" t="s">
        <v>62</v>
      </c>
      <c r="N11" s="17" t="s">
        <v>65</v>
      </c>
    </row>
    <row r="12" spans="1:14" x14ac:dyDescent="0.3">
      <c r="A12" s="13">
        <v>46255</v>
      </c>
      <c r="B12" s="14">
        <v>450</v>
      </c>
      <c r="C12" s="14">
        <v>20</v>
      </c>
      <c r="D12" s="14">
        <v>30</v>
      </c>
      <c r="E12" s="14">
        <v>0</v>
      </c>
      <c r="F12" s="14">
        <v>250</v>
      </c>
      <c r="G12" s="14">
        <v>5</v>
      </c>
      <c r="H12" s="14">
        <v>30</v>
      </c>
      <c r="I12" s="15">
        <f t="shared" si="2"/>
        <v>780</v>
      </c>
      <c r="J12" s="15">
        <f>IF(I12="","",1440-I12)</f>
        <v>660</v>
      </c>
      <c r="K12" s="16" t="s">
        <v>49</v>
      </c>
      <c r="L12" s="16" t="s">
        <v>73</v>
      </c>
      <c r="M12" s="16" t="s">
        <v>51</v>
      </c>
      <c r="N12" s="17" t="s">
        <v>76</v>
      </c>
    </row>
    <row r="13" spans="1:14" x14ac:dyDescent="0.3">
      <c r="A13" s="13">
        <v>46256</v>
      </c>
      <c r="B13" s="14">
        <v>540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5">
        <f t="shared" si="2"/>
        <v>540</v>
      </c>
      <c r="J13" s="15">
        <f t="shared" si="1"/>
        <v>900</v>
      </c>
      <c r="K13" s="16" t="s">
        <v>49</v>
      </c>
      <c r="L13" s="16" t="s">
        <v>57</v>
      </c>
      <c r="M13" s="16" t="s">
        <v>62</v>
      </c>
      <c r="N13" s="17" t="s">
        <v>70</v>
      </c>
    </row>
    <row r="14" spans="1:14" x14ac:dyDescent="0.3">
      <c r="A14" s="13">
        <v>46257</v>
      </c>
      <c r="B14" s="14">
        <v>500</v>
      </c>
      <c r="C14" s="14">
        <v>10</v>
      </c>
      <c r="D14" s="14">
        <v>30</v>
      </c>
      <c r="E14" s="14">
        <v>0</v>
      </c>
      <c r="F14" s="14">
        <v>0</v>
      </c>
      <c r="G14" s="14">
        <v>0</v>
      </c>
      <c r="H14" s="14">
        <v>15</v>
      </c>
      <c r="I14" s="15">
        <f t="shared" si="2"/>
        <v>555</v>
      </c>
      <c r="J14" s="15">
        <f t="shared" si="1"/>
        <v>885</v>
      </c>
      <c r="K14" s="16" t="s">
        <v>58</v>
      </c>
      <c r="L14" s="16" t="s">
        <v>57</v>
      </c>
      <c r="M14" s="16" t="s">
        <v>51</v>
      </c>
      <c r="N14" s="17" t="s">
        <v>66</v>
      </c>
    </row>
    <row r="15" spans="1:14" x14ac:dyDescent="0.3">
      <c r="A15" s="13">
        <v>46258</v>
      </c>
      <c r="B15" s="14">
        <v>380</v>
      </c>
      <c r="C15" s="14">
        <v>20</v>
      </c>
      <c r="D15" s="14">
        <v>80</v>
      </c>
      <c r="E15" s="14">
        <v>10</v>
      </c>
      <c r="F15" s="14">
        <v>250</v>
      </c>
      <c r="G15" s="14">
        <v>5</v>
      </c>
      <c r="H15" s="14">
        <v>30</v>
      </c>
      <c r="I15" s="15">
        <f t="shared" si="2"/>
        <v>770</v>
      </c>
      <c r="J15" s="15">
        <f t="shared" si="1"/>
        <v>670</v>
      </c>
      <c r="K15" s="16" t="s">
        <v>49</v>
      </c>
      <c r="L15" s="16" t="s">
        <v>50</v>
      </c>
      <c r="M15" s="16" t="s">
        <v>51</v>
      </c>
      <c r="N15" s="17" t="s">
        <v>75</v>
      </c>
    </row>
    <row r="16" spans="1:14" x14ac:dyDescent="0.3">
      <c r="A16" s="13">
        <v>46259</v>
      </c>
      <c r="B16" s="14">
        <v>420</v>
      </c>
      <c r="C16" s="14">
        <v>20</v>
      </c>
      <c r="D16" s="14">
        <v>0</v>
      </c>
      <c r="E16" s="14">
        <v>30</v>
      </c>
      <c r="F16" s="14">
        <v>350</v>
      </c>
      <c r="G16" s="14">
        <v>7</v>
      </c>
      <c r="H16" s="14">
        <v>0</v>
      </c>
      <c r="I16" s="15">
        <f t="shared" si="2"/>
        <v>820</v>
      </c>
      <c r="J16" s="15">
        <f t="shared" si="1"/>
        <v>620</v>
      </c>
      <c r="K16" s="16" t="s">
        <v>57</v>
      </c>
      <c r="L16" s="16" t="s">
        <v>61</v>
      </c>
      <c r="M16" s="16" t="s">
        <v>59</v>
      </c>
      <c r="N16" s="17" t="s">
        <v>65</v>
      </c>
    </row>
    <row r="17" spans="1:14" x14ac:dyDescent="0.3">
      <c r="A17" s="13">
        <v>46260</v>
      </c>
      <c r="B17" s="14">
        <v>420</v>
      </c>
      <c r="C17" s="14">
        <v>30</v>
      </c>
      <c r="D17" s="14">
        <v>90</v>
      </c>
      <c r="E17" s="14">
        <v>10</v>
      </c>
      <c r="F17" s="14">
        <v>300</v>
      </c>
      <c r="G17" s="14">
        <v>6</v>
      </c>
      <c r="H17" s="14">
        <v>10</v>
      </c>
      <c r="I17" s="15">
        <f t="shared" si="2"/>
        <v>860</v>
      </c>
      <c r="J17" s="15">
        <f t="shared" si="1"/>
        <v>580</v>
      </c>
      <c r="K17" s="16" t="s">
        <v>57</v>
      </c>
      <c r="L17" s="16" t="s">
        <v>57</v>
      </c>
      <c r="M17" s="16" t="s">
        <v>59</v>
      </c>
      <c r="N17" s="17" t="s">
        <v>66</v>
      </c>
    </row>
    <row r="18" spans="1:14" ht="28.8" x14ac:dyDescent="0.3">
      <c r="A18" s="13">
        <v>46261</v>
      </c>
      <c r="B18" s="14">
        <v>450</v>
      </c>
      <c r="C18" s="14">
        <v>20</v>
      </c>
      <c r="D18" s="14">
        <v>120</v>
      </c>
      <c r="E18" s="14">
        <v>0</v>
      </c>
      <c r="F18" s="14">
        <v>250</v>
      </c>
      <c r="G18" s="14">
        <v>5</v>
      </c>
      <c r="H18" s="14">
        <v>80</v>
      </c>
      <c r="I18" s="15">
        <f t="shared" si="2"/>
        <v>920</v>
      </c>
      <c r="J18" s="15">
        <f t="shared" si="1"/>
        <v>520</v>
      </c>
      <c r="K18" s="16" t="s">
        <v>49</v>
      </c>
      <c r="L18" s="16" t="s">
        <v>50</v>
      </c>
      <c r="M18" s="16" t="s">
        <v>62</v>
      </c>
      <c r="N18" s="17" t="s">
        <v>63</v>
      </c>
    </row>
    <row r="19" spans="1:14" x14ac:dyDescent="0.3">
      <c r="A19" s="13">
        <v>46262</v>
      </c>
      <c r="B19" s="14">
        <v>360</v>
      </c>
      <c r="C19" s="14">
        <v>15</v>
      </c>
      <c r="D19" s="14">
        <v>60</v>
      </c>
      <c r="E19" s="14">
        <v>15</v>
      </c>
      <c r="F19" s="14">
        <v>150</v>
      </c>
      <c r="G19" s="14">
        <v>3</v>
      </c>
      <c r="H19" s="14">
        <v>10</v>
      </c>
      <c r="I19" s="15">
        <f t="shared" si="2"/>
        <v>610</v>
      </c>
      <c r="J19" s="15">
        <f t="shared" si="1"/>
        <v>830</v>
      </c>
      <c r="K19" s="16" t="s">
        <v>49</v>
      </c>
      <c r="L19" s="16" t="s">
        <v>57</v>
      </c>
      <c r="M19" s="16" t="s">
        <v>51</v>
      </c>
      <c r="N19" s="17" t="s">
        <v>65</v>
      </c>
    </row>
    <row r="20" spans="1:14" ht="28.8" x14ac:dyDescent="0.3">
      <c r="A20" s="13">
        <v>46263</v>
      </c>
      <c r="B20" s="14">
        <v>540</v>
      </c>
      <c r="C20" s="14">
        <v>0</v>
      </c>
      <c r="D20" s="14">
        <v>45</v>
      </c>
      <c r="E20" s="14">
        <v>20</v>
      </c>
      <c r="F20" s="14">
        <v>0</v>
      </c>
      <c r="G20" s="14">
        <v>0</v>
      </c>
      <c r="H20" s="14">
        <v>30</v>
      </c>
      <c r="I20" s="15">
        <f t="shared" si="2"/>
        <v>635</v>
      </c>
      <c r="J20" s="15">
        <f t="shared" si="1"/>
        <v>805</v>
      </c>
      <c r="K20" s="16" t="s">
        <v>58</v>
      </c>
      <c r="L20" s="16" t="s">
        <v>73</v>
      </c>
      <c r="M20" s="16" t="s">
        <v>62</v>
      </c>
      <c r="N20" s="17" t="s">
        <v>63</v>
      </c>
    </row>
    <row r="21" spans="1:14" x14ac:dyDescent="0.3">
      <c r="A21" s="13">
        <v>46264</v>
      </c>
      <c r="B21" s="14">
        <v>600</v>
      </c>
      <c r="C21" s="14">
        <v>20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5">
        <f t="shared" si="2"/>
        <v>620</v>
      </c>
      <c r="J21" s="15">
        <f t="shared" si="1"/>
        <v>820</v>
      </c>
      <c r="K21" s="16" t="s">
        <v>57</v>
      </c>
      <c r="L21" s="16" t="s">
        <v>57</v>
      </c>
      <c r="M21" s="16" t="s">
        <v>62</v>
      </c>
      <c r="N21" s="17" t="s">
        <v>70</v>
      </c>
    </row>
    <row r="22" spans="1:14" x14ac:dyDescent="0.3">
      <c r="A22" s="13">
        <v>46265</v>
      </c>
      <c r="B22" s="14">
        <v>420</v>
      </c>
      <c r="C22" s="14">
        <v>10</v>
      </c>
      <c r="D22" s="14">
        <v>60</v>
      </c>
      <c r="E22" s="14">
        <v>30</v>
      </c>
      <c r="F22" s="14">
        <v>250</v>
      </c>
      <c r="G22" s="14">
        <v>5</v>
      </c>
      <c r="H22" s="14">
        <v>60</v>
      </c>
      <c r="I22" s="15">
        <f t="shared" si="2"/>
        <v>830</v>
      </c>
      <c r="J22" s="15">
        <f t="shared" si="1"/>
        <v>610</v>
      </c>
      <c r="K22" s="16" t="s">
        <v>49</v>
      </c>
      <c r="L22" s="16" t="s">
        <v>50</v>
      </c>
      <c r="M22" s="16" t="s">
        <v>51</v>
      </c>
      <c r="N22" s="17" t="s">
        <v>66</v>
      </c>
    </row>
    <row r="23" spans="1:14" ht="28.8" x14ac:dyDescent="0.3">
      <c r="A23" s="13">
        <v>46266</v>
      </c>
      <c r="B23" s="14">
        <v>480</v>
      </c>
      <c r="C23" s="14">
        <v>30</v>
      </c>
      <c r="D23" s="14">
        <v>60</v>
      </c>
      <c r="E23" s="14">
        <v>30</v>
      </c>
      <c r="F23" s="14">
        <v>350</v>
      </c>
      <c r="G23" s="14">
        <v>7</v>
      </c>
      <c r="H23" s="14">
        <v>90</v>
      </c>
      <c r="I23" s="15">
        <f t="shared" si="2"/>
        <v>1040</v>
      </c>
      <c r="J23" s="15">
        <f t="shared" si="1"/>
        <v>400</v>
      </c>
      <c r="K23" s="16" t="s">
        <v>57</v>
      </c>
      <c r="L23" s="16" t="s">
        <v>57</v>
      </c>
      <c r="M23" s="16" t="s">
        <v>59</v>
      </c>
      <c r="N23" s="17" t="s">
        <v>64</v>
      </c>
    </row>
    <row r="24" spans="1:14" x14ac:dyDescent="0.3">
      <c r="A24" s="13">
        <v>46267</v>
      </c>
      <c r="B24" s="14">
        <v>520</v>
      </c>
      <c r="C24" s="14">
        <v>30</v>
      </c>
      <c r="D24" s="14">
        <v>80</v>
      </c>
      <c r="E24" s="14">
        <v>20</v>
      </c>
      <c r="F24" s="14">
        <v>300</v>
      </c>
      <c r="G24" s="14">
        <v>6</v>
      </c>
      <c r="H24" s="14">
        <v>50</v>
      </c>
      <c r="I24" s="15">
        <f t="shared" si="2"/>
        <v>1000</v>
      </c>
      <c r="J24" s="15">
        <f t="shared" si="1"/>
        <v>440</v>
      </c>
      <c r="K24" s="16" t="s">
        <v>49</v>
      </c>
      <c r="L24" s="16" t="s">
        <v>50</v>
      </c>
      <c r="M24" s="16" t="s">
        <v>51</v>
      </c>
      <c r="N24" s="17" t="s">
        <v>65</v>
      </c>
    </row>
    <row r="25" spans="1:14" x14ac:dyDescent="0.3">
      <c r="A25" s="13">
        <v>46268</v>
      </c>
      <c r="B25" s="14">
        <v>460</v>
      </c>
      <c r="C25" s="14">
        <v>30</v>
      </c>
      <c r="D25" s="14">
        <v>80</v>
      </c>
      <c r="E25" s="14">
        <v>20</v>
      </c>
      <c r="F25" s="14">
        <v>200</v>
      </c>
      <c r="G25" s="14">
        <v>4</v>
      </c>
      <c r="H25" s="14">
        <v>45</v>
      </c>
      <c r="I25" s="15">
        <f t="shared" si="2"/>
        <v>835</v>
      </c>
      <c r="J25" s="15">
        <f t="shared" si="1"/>
        <v>605</v>
      </c>
      <c r="K25" s="16" t="s">
        <v>49</v>
      </c>
      <c r="L25" s="16" t="s">
        <v>57</v>
      </c>
      <c r="M25" s="16" t="s">
        <v>62</v>
      </c>
      <c r="N25" s="17" t="s">
        <v>66</v>
      </c>
    </row>
    <row r="26" spans="1:14" x14ac:dyDescent="0.3">
      <c r="A26" s="13">
        <v>46269</v>
      </c>
      <c r="B26" s="14">
        <v>540</v>
      </c>
      <c r="C26" s="14">
        <v>30</v>
      </c>
      <c r="D26" s="14">
        <v>60</v>
      </c>
      <c r="E26" s="14">
        <v>30</v>
      </c>
      <c r="F26" s="14">
        <v>250</v>
      </c>
      <c r="G26" s="14">
        <v>5</v>
      </c>
      <c r="H26" s="14">
        <v>45</v>
      </c>
      <c r="I26" s="15">
        <f t="shared" si="2"/>
        <v>955</v>
      </c>
      <c r="J26" s="15">
        <f t="shared" si="1"/>
        <v>485</v>
      </c>
      <c r="K26" s="16" t="s">
        <v>49</v>
      </c>
      <c r="L26" s="16" t="s">
        <v>57</v>
      </c>
      <c r="M26" s="16" t="s">
        <v>51</v>
      </c>
      <c r="N26" s="17" t="s">
        <v>67</v>
      </c>
    </row>
    <row r="27" spans="1:14" x14ac:dyDescent="0.3">
      <c r="A27" s="13">
        <v>46270</v>
      </c>
      <c r="B27" s="14">
        <v>560</v>
      </c>
      <c r="C27" s="14">
        <v>30</v>
      </c>
      <c r="D27" s="14">
        <v>0</v>
      </c>
      <c r="E27" s="14">
        <v>0</v>
      </c>
      <c r="F27" s="14">
        <v>0</v>
      </c>
      <c r="G27" s="14">
        <v>0</v>
      </c>
      <c r="H27" s="14">
        <v>50</v>
      </c>
      <c r="I27" s="15">
        <f t="shared" si="2"/>
        <v>640</v>
      </c>
      <c r="J27" s="15">
        <f t="shared" si="1"/>
        <v>800</v>
      </c>
      <c r="K27" s="16" t="s">
        <v>58</v>
      </c>
      <c r="L27" s="16" t="s">
        <v>61</v>
      </c>
      <c r="M27" s="16" t="s">
        <v>59</v>
      </c>
      <c r="N27" s="17" t="s">
        <v>68</v>
      </c>
    </row>
    <row r="28" spans="1:14" ht="28.8" x14ac:dyDescent="0.3">
      <c r="A28" s="13">
        <v>46271</v>
      </c>
      <c r="B28" s="14">
        <v>510</v>
      </c>
      <c r="C28" s="14">
        <v>60</v>
      </c>
      <c r="D28" s="14">
        <v>90</v>
      </c>
      <c r="E28" s="14">
        <v>0</v>
      </c>
      <c r="F28" s="14">
        <v>0</v>
      </c>
      <c r="G28" s="14">
        <v>0</v>
      </c>
      <c r="H28" s="14">
        <v>60</v>
      </c>
      <c r="I28" s="15">
        <f t="shared" si="2"/>
        <v>720</v>
      </c>
      <c r="J28" s="15">
        <f t="shared" si="1"/>
        <v>720</v>
      </c>
      <c r="K28" s="16" t="s">
        <v>58</v>
      </c>
      <c r="L28" s="16" t="s">
        <v>50</v>
      </c>
      <c r="M28" s="16" t="s">
        <v>51</v>
      </c>
      <c r="N28" s="17" t="s">
        <v>69</v>
      </c>
    </row>
    <row r="29" spans="1:14" x14ac:dyDescent="0.3">
      <c r="A29" s="13">
        <v>46272</v>
      </c>
      <c r="B29" s="14">
        <v>460</v>
      </c>
      <c r="C29" s="14">
        <v>20</v>
      </c>
      <c r="D29" s="14">
        <v>50</v>
      </c>
      <c r="E29" s="14">
        <v>30</v>
      </c>
      <c r="F29" s="14">
        <v>250</v>
      </c>
      <c r="G29" s="14">
        <v>5</v>
      </c>
      <c r="H29" s="14">
        <v>90</v>
      </c>
      <c r="I29" s="15">
        <f t="shared" si="2"/>
        <v>900</v>
      </c>
      <c r="J29" s="15">
        <f t="shared" si="1"/>
        <v>540</v>
      </c>
      <c r="K29" s="16" t="s">
        <v>49</v>
      </c>
      <c r="L29" s="16" t="s">
        <v>57</v>
      </c>
      <c r="M29" s="16" t="s">
        <v>62</v>
      </c>
      <c r="N29" s="17" t="s">
        <v>70</v>
      </c>
    </row>
    <row r="30" spans="1:14" x14ac:dyDescent="0.3">
      <c r="A30" s="13">
        <v>46273</v>
      </c>
      <c r="B30" s="14">
        <v>440</v>
      </c>
      <c r="C30" s="14">
        <v>20</v>
      </c>
      <c r="D30" s="14">
        <v>60</v>
      </c>
      <c r="E30" s="14">
        <v>20</v>
      </c>
      <c r="F30" s="14">
        <v>350</v>
      </c>
      <c r="G30" s="14">
        <v>7</v>
      </c>
      <c r="H30" s="14">
        <v>0</v>
      </c>
      <c r="I30" s="15">
        <f t="shared" si="2"/>
        <v>890</v>
      </c>
      <c r="J30" s="15">
        <f t="shared" si="1"/>
        <v>550</v>
      </c>
      <c r="K30" s="16" t="s">
        <v>59</v>
      </c>
      <c r="L30" s="16" t="s">
        <v>57</v>
      </c>
      <c r="M30" s="16" t="s">
        <v>51</v>
      </c>
      <c r="N30" s="17" t="s">
        <v>71</v>
      </c>
    </row>
    <row r="31" spans="1:14" ht="28.8" x14ac:dyDescent="0.3">
      <c r="A31" s="13">
        <v>46274</v>
      </c>
      <c r="B31" s="14">
        <v>480</v>
      </c>
      <c r="C31" s="14">
        <v>30</v>
      </c>
      <c r="D31" s="14">
        <v>200</v>
      </c>
      <c r="E31" s="14">
        <v>40</v>
      </c>
      <c r="F31" s="14">
        <v>300</v>
      </c>
      <c r="G31" s="14">
        <v>6</v>
      </c>
      <c r="H31" s="14">
        <v>80</v>
      </c>
      <c r="I31" s="15">
        <f t="shared" si="2"/>
        <v>1130</v>
      </c>
      <c r="J31" s="15">
        <f t="shared" si="1"/>
        <v>310</v>
      </c>
      <c r="K31" s="16" t="s">
        <v>60</v>
      </c>
      <c r="L31" s="16" t="s">
        <v>50</v>
      </c>
      <c r="M31" s="16" t="s">
        <v>59</v>
      </c>
      <c r="N31" s="17" t="s">
        <v>63</v>
      </c>
    </row>
    <row r="32" spans="1:14" ht="28.8" x14ac:dyDescent="0.3">
      <c r="A32" s="13">
        <v>46275</v>
      </c>
      <c r="B32" s="14">
        <v>360</v>
      </c>
      <c r="C32" s="14">
        <v>20</v>
      </c>
      <c r="D32" s="14">
        <v>180</v>
      </c>
      <c r="E32" s="14">
        <v>30</v>
      </c>
      <c r="F32" s="14">
        <v>150</v>
      </c>
      <c r="G32" s="14">
        <v>3</v>
      </c>
      <c r="H32" s="14">
        <v>90</v>
      </c>
      <c r="I32" s="15">
        <f t="shared" si="2"/>
        <v>830</v>
      </c>
      <c r="J32" s="15">
        <f t="shared" si="1"/>
        <v>610</v>
      </c>
      <c r="K32" s="16" t="s">
        <v>49</v>
      </c>
      <c r="L32" s="16" t="s">
        <v>57</v>
      </c>
      <c r="M32" s="16" t="s">
        <v>51</v>
      </c>
      <c r="N32" s="17" t="s">
        <v>72</v>
      </c>
    </row>
    <row r="33" spans="1:14" x14ac:dyDescent="0.3">
      <c r="A33" s="13">
        <v>46276</v>
      </c>
      <c r="B33" s="14">
        <v>440</v>
      </c>
      <c r="C33" s="14">
        <v>20</v>
      </c>
      <c r="D33" s="14">
        <v>120</v>
      </c>
      <c r="E33" s="14">
        <v>30</v>
      </c>
      <c r="F33" s="14">
        <v>250</v>
      </c>
      <c r="G33" s="14">
        <v>5</v>
      </c>
      <c r="H33" s="14">
        <v>60</v>
      </c>
      <c r="I33" s="15">
        <f t="shared" si="2"/>
        <v>920</v>
      </c>
      <c r="J33" s="15">
        <f t="shared" si="1"/>
        <v>520</v>
      </c>
      <c r="K33" s="16" t="s">
        <v>49</v>
      </c>
      <c r="L33" s="16" t="s">
        <v>50</v>
      </c>
      <c r="M33" s="16" t="s">
        <v>51</v>
      </c>
      <c r="N33" s="17" t="s">
        <v>67</v>
      </c>
    </row>
    <row r="34" spans="1:14" x14ac:dyDescent="0.3">
      <c r="A34" s="13">
        <v>46277</v>
      </c>
      <c r="B34" s="14">
        <v>480</v>
      </c>
      <c r="C34" s="14">
        <v>30</v>
      </c>
      <c r="D34" s="14">
        <v>150</v>
      </c>
      <c r="E34" s="14">
        <v>20</v>
      </c>
      <c r="F34" s="14">
        <v>0</v>
      </c>
      <c r="G34" s="14">
        <v>0</v>
      </c>
      <c r="H34" s="14">
        <v>40</v>
      </c>
      <c r="I34" s="15">
        <f t="shared" si="2"/>
        <v>720</v>
      </c>
      <c r="J34" s="15">
        <f t="shared" si="1"/>
        <v>720</v>
      </c>
      <c r="K34" s="16" t="s">
        <v>58</v>
      </c>
      <c r="L34" s="16" t="s">
        <v>57</v>
      </c>
      <c r="M34" s="16" t="s">
        <v>51</v>
      </c>
      <c r="N34" s="17" t="s">
        <v>70</v>
      </c>
    </row>
    <row r="35" spans="1:14" x14ac:dyDescent="0.3">
      <c r="A35" s="13">
        <v>46278</v>
      </c>
      <c r="B35" s="14">
        <v>450</v>
      </c>
      <c r="C35" s="14">
        <v>40</v>
      </c>
      <c r="D35" s="14">
        <v>0</v>
      </c>
      <c r="E35" s="14">
        <v>0</v>
      </c>
      <c r="F35" s="14">
        <v>0</v>
      </c>
      <c r="G35" s="14">
        <v>0</v>
      </c>
      <c r="H35" s="14">
        <v>120</v>
      </c>
      <c r="I35" s="15">
        <f t="shared" si="2"/>
        <v>610</v>
      </c>
      <c r="J35" s="15">
        <f t="shared" si="1"/>
        <v>830</v>
      </c>
      <c r="K35" s="16" t="s">
        <v>57</v>
      </c>
      <c r="L35" s="16" t="s">
        <v>61</v>
      </c>
      <c r="M35" s="16" t="s">
        <v>59</v>
      </c>
      <c r="N35" s="17" t="s">
        <v>66</v>
      </c>
    </row>
    <row r="36" spans="1:14" x14ac:dyDescent="0.3">
      <c r="A36" s="13">
        <v>46279</v>
      </c>
      <c r="B36" s="14">
        <v>420</v>
      </c>
      <c r="C36" s="14">
        <v>20</v>
      </c>
      <c r="D36" s="14">
        <v>120</v>
      </c>
      <c r="E36" s="14">
        <v>20</v>
      </c>
      <c r="F36" s="14">
        <v>250</v>
      </c>
      <c r="G36" s="14">
        <v>5</v>
      </c>
      <c r="H36" s="14">
        <v>60</v>
      </c>
      <c r="I36" s="15">
        <f t="shared" si="2"/>
        <v>890</v>
      </c>
      <c r="J36" s="15">
        <f t="shared" si="1"/>
        <v>550</v>
      </c>
      <c r="K36" s="16" t="s">
        <v>49</v>
      </c>
      <c r="L36" s="16" t="s">
        <v>57</v>
      </c>
      <c r="M36" s="16" t="s">
        <v>51</v>
      </c>
      <c r="N36" s="17" t="s">
        <v>70</v>
      </c>
    </row>
    <row r="37" spans="1:14" x14ac:dyDescent="0.3">
      <c r="A37" s="13">
        <v>46280</v>
      </c>
      <c r="B37" s="14">
        <v>380</v>
      </c>
      <c r="C37" s="14">
        <v>30</v>
      </c>
      <c r="D37" s="14">
        <v>60</v>
      </c>
      <c r="E37" s="14">
        <v>15</v>
      </c>
      <c r="F37" s="14">
        <v>350</v>
      </c>
      <c r="G37" s="14">
        <v>7</v>
      </c>
      <c r="H37" s="14">
        <v>20</v>
      </c>
      <c r="I37" s="15">
        <f t="shared" si="2"/>
        <v>855</v>
      </c>
      <c r="J37" s="15">
        <f t="shared" si="1"/>
        <v>585</v>
      </c>
      <c r="K37" s="16" t="s">
        <v>57</v>
      </c>
      <c r="L37" s="16" t="s">
        <v>61</v>
      </c>
      <c r="M37" s="16" t="s">
        <v>59</v>
      </c>
      <c r="N37" s="17" t="s">
        <v>71</v>
      </c>
    </row>
    <row r="38" spans="1:14" ht="28.8" x14ac:dyDescent="0.3">
      <c r="A38" s="13">
        <v>46281</v>
      </c>
      <c r="B38" s="14">
        <v>400</v>
      </c>
      <c r="C38" s="14">
        <v>20</v>
      </c>
      <c r="D38" s="14">
        <v>80</v>
      </c>
      <c r="E38" s="14">
        <v>20</v>
      </c>
      <c r="F38" s="14">
        <v>300</v>
      </c>
      <c r="G38" s="14">
        <v>6</v>
      </c>
      <c r="H38" s="14">
        <v>30</v>
      </c>
      <c r="I38" s="15">
        <f t="shared" si="2"/>
        <v>850</v>
      </c>
      <c r="J38" s="15">
        <f t="shared" si="1"/>
        <v>590</v>
      </c>
      <c r="K38" s="16" t="s">
        <v>49</v>
      </c>
      <c r="L38" s="16" t="s">
        <v>50</v>
      </c>
      <c r="M38" s="16" t="s">
        <v>51</v>
      </c>
      <c r="N38" s="17" t="s">
        <v>64</v>
      </c>
    </row>
    <row r="39" spans="1:14" x14ac:dyDescent="0.3">
      <c r="A39" s="13">
        <v>46282</v>
      </c>
      <c r="B39" s="14">
        <v>450</v>
      </c>
      <c r="C39" s="14">
        <v>20</v>
      </c>
      <c r="D39" s="14">
        <v>50</v>
      </c>
      <c r="E39" s="14">
        <v>30</v>
      </c>
      <c r="F39" s="14">
        <v>200</v>
      </c>
      <c r="G39" s="14">
        <v>4</v>
      </c>
      <c r="H39" s="14">
        <v>150</v>
      </c>
      <c r="I39" s="15">
        <f t="shared" si="2"/>
        <v>900</v>
      </c>
      <c r="J39" s="15">
        <f t="shared" si="1"/>
        <v>540</v>
      </c>
      <c r="K39" s="16" t="s">
        <v>49</v>
      </c>
      <c r="L39" s="16" t="s">
        <v>57</v>
      </c>
      <c r="M39" s="16" t="s">
        <v>51</v>
      </c>
      <c r="N39" s="17" t="s">
        <v>67</v>
      </c>
    </row>
    <row r="40" spans="1:14" x14ac:dyDescent="0.3">
      <c r="A40" s="13">
        <v>46283</v>
      </c>
      <c r="B40" s="14">
        <v>420</v>
      </c>
      <c r="C40" s="14">
        <v>20</v>
      </c>
      <c r="D40" s="14">
        <v>60</v>
      </c>
      <c r="E40" s="14">
        <v>20</v>
      </c>
      <c r="F40" s="14">
        <v>250</v>
      </c>
      <c r="G40" s="14">
        <v>5</v>
      </c>
      <c r="H40" s="14">
        <v>45</v>
      </c>
      <c r="I40" s="15">
        <f t="shared" si="2"/>
        <v>815</v>
      </c>
      <c r="J40" s="15">
        <f t="shared" si="1"/>
        <v>625</v>
      </c>
      <c r="K40" s="16" t="s">
        <v>49</v>
      </c>
      <c r="L40" s="16" t="s">
        <v>50</v>
      </c>
      <c r="M40" s="16" t="s">
        <v>62</v>
      </c>
      <c r="N40" s="17" t="s">
        <v>66</v>
      </c>
    </row>
    <row r="41" spans="1:14" ht="28.8" x14ac:dyDescent="0.3">
      <c r="A41" s="13">
        <v>46284</v>
      </c>
      <c r="B41" s="14">
        <v>350</v>
      </c>
      <c r="C41" s="14">
        <v>40</v>
      </c>
      <c r="D41" s="14">
        <v>0</v>
      </c>
      <c r="E41" s="14">
        <v>0</v>
      </c>
      <c r="F41" s="14">
        <v>50</v>
      </c>
      <c r="G41" s="14">
        <v>1</v>
      </c>
      <c r="H41" s="14">
        <v>180</v>
      </c>
      <c r="I41" s="15">
        <f t="shared" si="2"/>
        <v>620</v>
      </c>
      <c r="J41" s="15">
        <f t="shared" si="1"/>
        <v>820</v>
      </c>
      <c r="K41" s="16" t="s">
        <v>58</v>
      </c>
      <c r="L41" s="16" t="s">
        <v>57</v>
      </c>
      <c r="M41" s="16" t="s">
        <v>51</v>
      </c>
      <c r="N41" s="17" t="s">
        <v>63</v>
      </c>
    </row>
    <row r="42" spans="1:14" x14ac:dyDescent="0.3">
      <c r="A42" s="13">
        <v>46285</v>
      </c>
      <c r="B42" s="14">
        <v>680</v>
      </c>
      <c r="C42" s="14">
        <v>20</v>
      </c>
      <c r="D42" s="14">
        <v>300</v>
      </c>
      <c r="E42" s="14">
        <v>60</v>
      </c>
      <c r="F42" s="14">
        <v>0</v>
      </c>
      <c r="G42" s="14">
        <v>0</v>
      </c>
      <c r="H42" s="14">
        <v>60</v>
      </c>
      <c r="I42" s="15">
        <f t="shared" si="2"/>
        <v>1120</v>
      </c>
      <c r="J42" s="15">
        <f t="shared" si="1"/>
        <v>320</v>
      </c>
      <c r="K42" s="16" t="s">
        <v>49</v>
      </c>
      <c r="L42" s="16" t="s">
        <v>73</v>
      </c>
      <c r="M42" s="16" t="s">
        <v>62</v>
      </c>
      <c r="N42" s="17" t="s">
        <v>67</v>
      </c>
    </row>
    <row r="43" spans="1:14" x14ac:dyDescent="0.3">
      <c r="A43" s="13">
        <v>46286</v>
      </c>
      <c r="B43" s="14">
        <v>420</v>
      </c>
      <c r="C43" s="14">
        <v>30</v>
      </c>
      <c r="D43" s="14">
        <v>120</v>
      </c>
      <c r="E43" s="14">
        <v>30</v>
      </c>
      <c r="F43" s="14">
        <v>250</v>
      </c>
      <c r="G43" s="14">
        <v>5</v>
      </c>
      <c r="H43" s="14">
        <v>45</v>
      </c>
      <c r="I43" s="15">
        <f t="shared" si="2"/>
        <v>895</v>
      </c>
      <c r="J43" s="15">
        <f t="shared" si="1"/>
        <v>545</v>
      </c>
      <c r="K43" s="16" t="s">
        <v>49</v>
      </c>
      <c r="L43" s="16" t="s">
        <v>50</v>
      </c>
      <c r="M43" s="16" t="s">
        <v>51</v>
      </c>
      <c r="N43" s="17" t="s">
        <v>70</v>
      </c>
    </row>
    <row r="44" spans="1:14" x14ac:dyDescent="0.3">
      <c r="A44" s="13">
        <v>46287</v>
      </c>
      <c r="B44" s="14">
        <v>420</v>
      </c>
      <c r="C44" s="14">
        <v>30</v>
      </c>
      <c r="D44" s="14">
        <v>180</v>
      </c>
      <c r="E44" s="14">
        <v>30</v>
      </c>
      <c r="F44" s="14">
        <v>350</v>
      </c>
      <c r="G44" s="14">
        <v>7</v>
      </c>
      <c r="H44" s="14">
        <v>90</v>
      </c>
      <c r="I44" s="15">
        <f t="shared" si="2"/>
        <v>1100</v>
      </c>
      <c r="J44" s="15">
        <f t="shared" si="1"/>
        <v>340</v>
      </c>
      <c r="K44" s="16" t="s">
        <v>57</v>
      </c>
      <c r="L44" s="16" t="s">
        <v>50</v>
      </c>
      <c r="M44" s="16" t="s">
        <v>59</v>
      </c>
      <c r="N44" s="17" t="s">
        <v>74</v>
      </c>
    </row>
    <row r="45" spans="1:14" x14ac:dyDescent="0.3">
      <c r="A45" s="13">
        <v>46288</v>
      </c>
      <c r="B45" s="14">
        <v>340</v>
      </c>
      <c r="C45" s="14">
        <v>30</v>
      </c>
      <c r="D45" s="14">
        <v>160</v>
      </c>
      <c r="E45" s="14">
        <v>30</v>
      </c>
      <c r="F45" s="14">
        <v>300</v>
      </c>
      <c r="G45" s="14">
        <v>6</v>
      </c>
      <c r="H45" s="14">
        <v>50</v>
      </c>
      <c r="I45" s="15">
        <f t="shared" si="2"/>
        <v>910</v>
      </c>
      <c r="J45" s="15">
        <f t="shared" si="1"/>
        <v>530</v>
      </c>
      <c r="K45" s="16" t="s">
        <v>49</v>
      </c>
      <c r="L45" s="16" t="s">
        <v>50</v>
      </c>
      <c r="M45" s="16" t="s">
        <v>51</v>
      </c>
      <c r="N45" s="17" t="s">
        <v>66</v>
      </c>
    </row>
    <row r="46" spans="1:14" x14ac:dyDescent="0.3">
      <c r="A46" s="13">
        <v>46289</v>
      </c>
      <c r="B46" s="14">
        <v>420</v>
      </c>
      <c r="C46" s="14">
        <v>20</v>
      </c>
      <c r="D46" s="14">
        <v>240</v>
      </c>
      <c r="E46" s="14">
        <v>10</v>
      </c>
      <c r="F46" s="14">
        <v>150</v>
      </c>
      <c r="G46" s="14">
        <v>3</v>
      </c>
      <c r="H46" s="14">
        <v>60</v>
      </c>
      <c r="I46" s="15">
        <f t="shared" si="2"/>
        <v>900</v>
      </c>
      <c r="J46" s="15">
        <f t="shared" si="1"/>
        <v>540</v>
      </c>
      <c r="K46" s="16" t="s">
        <v>49</v>
      </c>
      <c r="L46" s="16" t="s">
        <v>50</v>
      </c>
      <c r="M46" s="16" t="s">
        <v>62</v>
      </c>
      <c r="N46" s="17" t="s">
        <v>67</v>
      </c>
    </row>
    <row r="47" spans="1:14" x14ac:dyDescent="0.3">
      <c r="A47" s="13">
        <v>46290</v>
      </c>
      <c r="B47" s="14">
        <v>480</v>
      </c>
      <c r="C47" s="14">
        <v>20</v>
      </c>
      <c r="D47" s="14">
        <v>120</v>
      </c>
      <c r="E47" s="14">
        <v>20</v>
      </c>
      <c r="F47" s="14">
        <v>250</v>
      </c>
      <c r="G47" s="14">
        <v>5</v>
      </c>
      <c r="H47" s="14">
        <v>80</v>
      </c>
      <c r="I47" s="15">
        <f t="shared" si="2"/>
        <v>970</v>
      </c>
      <c r="J47" s="15">
        <f t="shared" si="1"/>
        <v>470</v>
      </c>
      <c r="K47" s="16" t="s">
        <v>57</v>
      </c>
      <c r="L47" s="16" t="s">
        <v>61</v>
      </c>
      <c r="M47" s="16" t="s">
        <v>51</v>
      </c>
      <c r="N47" s="17" t="s">
        <v>75</v>
      </c>
    </row>
    <row r="48" spans="1:14" x14ac:dyDescent="0.3">
      <c r="A48" s="13">
        <v>46291</v>
      </c>
      <c r="B48" s="14">
        <v>450</v>
      </c>
      <c r="C48" s="14">
        <v>30</v>
      </c>
      <c r="D48" s="14">
        <v>120</v>
      </c>
      <c r="E48" s="14">
        <v>20</v>
      </c>
      <c r="F48" s="14">
        <v>60</v>
      </c>
      <c r="G48" s="14">
        <v>1</v>
      </c>
      <c r="H48" s="14">
        <v>60</v>
      </c>
      <c r="I48" s="15">
        <f t="shared" si="2"/>
        <v>740</v>
      </c>
      <c r="J48" s="15">
        <f t="shared" si="1"/>
        <v>700</v>
      </c>
      <c r="K48" s="16" t="s">
        <v>49</v>
      </c>
      <c r="L48" s="16" t="s">
        <v>50</v>
      </c>
      <c r="M48" s="16" t="s">
        <v>51</v>
      </c>
      <c r="N48" s="17" t="s">
        <v>76</v>
      </c>
    </row>
    <row r="49" spans="1:14" x14ac:dyDescent="0.3">
      <c r="A49" s="13">
        <v>46292</v>
      </c>
      <c r="B49" s="14">
        <v>420</v>
      </c>
      <c r="C49" s="14">
        <v>20</v>
      </c>
      <c r="D49" s="14">
        <v>80</v>
      </c>
      <c r="E49" s="14">
        <v>20</v>
      </c>
      <c r="F49" s="14">
        <v>0</v>
      </c>
      <c r="G49" s="14">
        <v>0</v>
      </c>
      <c r="H49" s="14">
        <v>40</v>
      </c>
      <c r="I49" s="15">
        <f t="shared" si="2"/>
        <v>580</v>
      </c>
      <c r="J49" s="15">
        <f t="shared" si="1"/>
        <v>860</v>
      </c>
      <c r="K49" s="16" t="s">
        <v>49</v>
      </c>
      <c r="L49" s="16" t="s">
        <v>73</v>
      </c>
      <c r="M49" s="16" t="s">
        <v>62</v>
      </c>
      <c r="N49" s="17" t="s">
        <v>65</v>
      </c>
    </row>
    <row r="50" spans="1:14" x14ac:dyDescent="0.3">
      <c r="A50" s="13">
        <v>46293</v>
      </c>
      <c r="B50" s="14">
        <v>500</v>
      </c>
      <c r="C50" s="14">
        <v>20</v>
      </c>
      <c r="D50" s="14">
        <v>40</v>
      </c>
      <c r="E50" s="14">
        <v>0</v>
      </c>
      <c r="F50" s="14">
        <v>0</v>
      </c>
      <c r="G50" s="14">
        <v>0</v>
      </c>
      <c r="H50" s="14">
        <v>30</v>
      </c>
      <c r="I50" s="15">
        <f t="shared" si="2"/>
        <v>590</v>
      </c>
      <c r="J50" s="15">
        <f t="shared" si="1"/>
        <v>850</v>
      </c>
      <c r="K50" s="16" t="s">
        <v>58</v>
      </c>
      <c r="L50" s="16" t="s">
        <v>61</v>
      </c>
      <c r="M50" s="16" t="s">
        <v>51</v>
      </c>
      <c r="N50" s="17" t="s">
        <v>77</v>
      </c>
    </row>
    <row r="51" spans="1:14" x14ac:dyDescent="0.3">
      <c r="A51" s="13">
        <v>46294</v>
      </c>
      <c r="B51" s="14">
        <v>460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5">
        <f t="shared" si="2"/>
        <v>460</v>
      </c>
      <c r="J51" s="15">
        <f t="shared" si="1"/>
        <v>980</v>
      </c>
      <c r="K51" s="16" t="s">
        <v>58</v>
      </c>
      <c r="L51" s="16" t="s">
        <v>50</v>
      </c>
      <c r="M51" s="16" t="s">
        <v>51</v>
      </c>
      <c r="N51" s="17" t="s">
        <v>77</v>
      </c>
    </row>
    <row r="52" spans="1:14" x14ac:dyDescent="0.3">
      <c r="A52" s="18">
        <v>46295</v>
      </c>
      <c r="B52" s="14">
        <v>520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5">
        <f t="shared" si="2"/>
        <v>520</v>
      </c>
      <c r="J52" s="15">
        <f t="shared" si="1"/>
        <v>920</v>
      </c>
      <c r="K52" s="16" t="s">
        <v>49</v>
      </c>
      <c r="L52" s="16" t="s">
        <v>50</v>
      </c>
      <c r="M52" s="16" t="s">
        <v>62</v>
      </c>
      <c r="N52" s="17" t="s">
        <v>66</v>
      </c>
    </row>
    <row r="53" spans="1:14" x14ac:dyDescent="0.3">
      <c r="A53" s="13">
        <v>46296</v>
      </c>
      <c r="B53" s="14"/>
      <c r="C53" s="14"/>
      <c r="D53" s="14"/>
      <c r="E53" s="14"/>
      <c r="F53" s="14"/>
      <c r="G53" s="14"/>
      <c r="H53" s="14"/>
      <c r="I53" s="15" t="str">
        <f t="shared" si="2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2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2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2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2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2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2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2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2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2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2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2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2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2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2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2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2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si="2"/>
        <v/>
      </c>
      <c r="J70" s="15" t="str">
        <f t="shared" si="1"/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1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ref="I72:I100" si="3">IF(SUM(B72:F72,H72)=0,"",SUM(B72:F72,H72))</f>
        <v/>
      </c>
      <c r="J72" s="15" t="str">
        <f t="shared" si="1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3"/>
        <v/>
      </c>
      <c r="J73" s="15" t="str">
        <f t="shared" si="1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3"/>
        <v/>
      </c>
      <c r="J74" s="15" t="str">
        <f t="shared" si="1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3"/>
        <v/>
      </c>
      <c r="J75" s="15" t="str">
        <f t="shared" si="1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3"/>
        <v/>
      </c>
      <c r="J76" s="15" t="str">
        <f t="shared" si="1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3"/>
        <v/>
      </c>
      <c r="J77" s="15" t="str">
        <f t="shared" si="1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3"/>
        <v/>
      </c>
      <c r="J78" s="15" t="str">
        <f t="shared" si="1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3"/>
        <v/>
      </c>
      <c r="J79" s="15" t="str">
        <f t="shared" si="1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3"/>
        <v/>
      </c>
      <c r="J80" s="15" t="str">
        <f t="shared" si="1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3"/>
        <v/>
      </c>
      <c r="J81" s="15" t="str">
        <f t="shared" si="1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3"/>
        <v/>
      </c>
      <c r="J82" s="15" t="str">
        <f t="shared" si="1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3"/>
        <v/>
      </c>
      <c r="J83" s="15" t="str">
        <f t="shared" si="1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3"/>
        <v/>
      </c>
      <c r="J84" s="15" t="str">
        <f t="shared" si="1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3"/>
        <v/>
      </c>
      <c r="J85" s="15" t="str">
        <f t="shared" si="1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3"/>
        <v/>
      </c>
      <c r="J86" s="15" t="str">
        <f t="shared" ref="J86:J149" si="4">IF(I86="","",1440-I86)</f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3"/>
        <v/>
      </c>
      <c r="J87" s="15" t="str">
        <f t="shared" si="4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3"/>
        <v/>
      </c>
      <c r="J88" s="15" t="str">
        <f t="shared" si="4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3"/>
        <v/>
      </c>
      <c r="J89" s="15" t="str">
        <f t="shared" si="4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3"/>
        <v/>
      </c>
      <c r="J90" s="15" t="str">
        <f t="shared" si="4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3"/>
        <v/>
      </c>
      <c r="J91" s="15" t="str">
        <f t="shared" si="4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3"/>
        <v/>
      </c>
      <c r="J92" s="15" t="str">
        <f t="shared" si="4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3"/>
        <v/>
      </c>
      <c r="J93" s="15" t="str">
        <f t="shared" si="4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3"/>
        <v/>
      </c>
      <c r="J94" s="15" t="str">
        <f t="shared" si="4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3"/>
        <v/>
      </c>
      <c r="J95" s="15" t="str">
        <f t="shared" si="4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3"/>
        <v/>
      </c>
      <c r="J96" s="15" t="str">
        <f t="shared" si="4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3"/>
        <v/>
      </c>
      <c r="J97" s="15" t="str">
        <f t="shared" si="4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3"/>
        <v/>
      </c>
      <c r="J98" s="15" t="str">
        <f t="shared" si="4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3"/>
        <v/>
      </c>
      <c r="J99" s="15" t="str">
        <f t="shared" si="4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3"/>
        <v/>
      </c>
      <c r="J100" s="15" t="str">
        <f t="shared" si="4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ref="I101:I149" si="5">IF(SUM(B101:F101,H101)=0,"",SUM(B101:F101,H101))</f>
        <v/>
      </c>
      <c r="J101" s="15" t="str">
        <f t="shared" si="4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5"/>
        <v/>
      </c>
      <c r="J102" s="15" t="str">
        <f t="shared" si="4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5"/>
        <v/>
      </c>
      <c r="J103" s="15" t="str">
        <f t="shared" si="4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5"/>
        <v/>
      </c>
      <c r="J104" s="15" t="str">
        <f t="shared" si="4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5"/>
        <v/>
      </c>
      <c r="J105" s="15" t="str">
        <f t="shared" si="4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5"/>
        <v/>
      </c>
      <c r="J106" s="15" t="str">
        <f t="shared" si="4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5"/>
        <v/>
      </c>
      <c r="J107" s="15" t="str">
        <f t="shared" si="4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5"/>
        <v/>
      </c>
      <c r="J108" s="15" t="str">
        <f t="shared" si="4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5"/>
        <v/>
      </c>
      <c r="J109" s="15" t="str">
        <f t="shared" si="4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5"/>
        <v/>
      </c>
      <c r="J110" s="15" t="str">
        <f t="shared" si="4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5"/>
        <v/>
      </c>
      <c r="J111" s="15" t="str">
        <f t="shared" si="4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5"/>
        <v/>
      </c>
      <c r="J112" s="15" t="str">
        <f t="shared" si="4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5"/>
        <v/>
      </c>
      <c r="J113" s="15" t="str">
        <f t="shared" si="4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5"/>
        <v/>
      </c>
      <c r="J114" s="15" t="str">
        <f t="shared" si="4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5"/>
        <v/>
      </c>
      <c r="J115" s="15" t="str">
        <f t="shared" si="4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5"/>
        <v/>
      </c>
      <c r="J116" s="15" t="str">
        <f t="shared" si="4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5"/>
        <v/>
      </c>
      <c r="J117" s="15" t="str">
        <f t="shared" si="4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5"/>
        <v/>
      </c>
      <c r="J118" s="15" t="str">
        <f t="shared" si="4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5"/>
        <v/>
      </c>
      <c r="J119" s="15" t="str">
        <f t="shared" si="4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5"/>
        <v/>
      </c>
      <c r="J120" s="15" t="str">
        <f t="shared" si="4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5"/>
        <v/>
      </c>
      <c r="J121" s="15" t="str">
        <f t="shared" si="4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5"/>
        <v/>
      </c>
      <c r="J122" s="15" t="str">
        <f t="shared" si="4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5"/>
        <v/>
      </c>
      <c r="J123" s="15" t="str">
        <f t="shared" si="4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5"/>
        <v/>
      </c>
      <c r="J124" s="15" t="str">
        <f t="shared" si="4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5"/>
        <v/>
      </c>
      <c r="J125" s="15" t="str">
        <f t="shared" si="4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5"/>
        <v/>
      </c>
      <c r="J126" s="15" t="str">
        <f t="shared" si="4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5"/>
        <v/>
      </c>
      <c r="J127" s="15" t="str">
        <f t="shared" si="4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5"/>
        <v/>
      </c>
      <c r="J128" s="15" t="str">
        <f t="shared" si="4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5"/>
        <v/>
      </c>
      <c r="J129" s="15" t="str">
        <f t="shared" si="4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5"/>
        <v/>
      </c>
      <c r="J130" s="15" t="str">
        <f t="shared" si="4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5"/>
        <v/>
      </c>
      <c r="J131" s="15" t="str">
        <f t="shared" si="4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5"/>
        <v/>
      </c>
      <c r="J132" s="15" t="str">
        <f t="shared" si="4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5"/>
        <v/>
      </c>
      <c r="J133" s="15" t="str">
        <f t="shared" si="4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si="5"/>
        <v/>
      </c>
      <c r="J134" s="15" t="str">
        <f t="shared" si="4"/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5"/>
        <v/>
      </c>
      <c r="J135" s="15" t="str">
        <f t="shared" si="4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5"/>
        <v/>
      </c>
      <c r="J136" s="15" t="str">
        <f t="shared" si="4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5"/>
        <v/>
      </c>
      <c r="J137" s="15" t="str">
        <f t="shared" si="4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5"/>
        <v/>
      </c>
      <c r="J138" s="15" t="str">
        <f t="shared" si="4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5"/>
        <v/>
      </c>
      <c r="J139" s="15" t="str">
        <f t="shared" si="4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5"/>
        <v/>
      </c>
      <c r="J140" s="15" t="str">
        <f t="shared" si="4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5"/>
        <v/>
      </c>
      <c r="J141" s="15" t="str">
        <f t="shared" si="4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5"/>
        <v/>
      </c>
      <c r="J142" s="15" t="str">
        <f t="shared" si="4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5"/>
        <v/>
      </c>
      <c r="J143" s="15" t="str">
        <f t="shared" si="4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5"/>
        <v/>
      </c>
      <c r="J144" s="15" t="str">
        <f t="shared" si="4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5"/>
        <v/>
      </c>
      <c r="J145" s="15" t="str">
        <f t="shared" si="4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5"/>
        <v/>
      </c>
      <c r="J146" s="15" t="str">
        <f t="shared" si="4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5"/>
        <v/>
      </c>
      <c r="J147" s="15" t="str">
        <f t="shared" si="4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5"/>
        <v/>
      </c>
      <c r="J148" s="15" t="str">
        <f t="shared" si="4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5"/>
        <v/>
      </c>
      <c r="J149" s="15" t="str">
        <f t="shared" si="4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ref="I150:I213" si="6">IF(SUM(B150:F150,H150)=0,"",SUM(B150:F150,H150))</f>
        <v/>
      </c>
      <c r="J150" s="15" t="str">
        <f t="shared" ref="J150:J213" si="7">IF(I150="","",1440-I150)</f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6"/>
        <v/>
      </c>
      <c r="J151" s="15" t="str">
        <f t="shared" si="7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6"/>
        <v/>
      </c>
      <c r="J152" s="15" t="str">
        <f t="shared" si="7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6"/>
        <v/>
      </c>
      <c r="J153" s="15" t="str">
        <f t="shared" si="7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6"/>
        <v/>
      </c>
      <c r="J154" s="15" t="str">
        <f t="shared" si="7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6"/>
        <v/>
      </c>
      <c r="J155" s="15" t="str">
        <f t="shared" si="7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6"/>
        <v/>
      </c>
      <c r="J156" s="15" t="str">
        <f t="shared" si="7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6"/>
        <v/>
      </c>
      <c r="J157" s="15" t="str">
        <f t="shared" si="7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6"/>
        <v/>
      </c>
      <c r="J158" s="15" t="str">
        <f t="shared" si="7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6"/>
        <v/>
      </c>
      <c r="J159" s="15" t="str">
        <f t="shared" si="7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6"/>
        <v/>
      </c>
      <c r="J160" s="15" t="str">
        <f t="shared" si="7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6"/>
        <v/>
      </c>
      <c r="J161" s="15" t="str">
        <f t="shared" si="7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6"/>
        <v/>
      </c>
      <c r="J162" s="15" t="str">
        <f t="shared" si="7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6"/>
        <v/>
      </c>
      <c r="J163" s="15" t="str">
        <f t="shared" si="7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6"/>
        <v/>
      </c>
      <c r="J164" s="15" t="str">
        <f t="shared" si="7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6"/>
        <v/>
      </c>
      <c r="J165" s="15" t="str">
        <f t="shared" si="7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6"/>
        <v/>
      </c>
      <c r="J166" s="15" t="str">
        <f t="shared" si="7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6"/>
        <v/>
      </c>
      <c r="J167" s="15" t="str">
        <f t="shared" si="7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6"/>
        <v/>
      </c>
      <c r="J168" s="15" t="str">
        <f t="shared" si="7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6"/>
        <v/>
      </c>
      <c r="J169" s="15" t="str">
        <f t="shared" si="7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6"/>
        <v/>
      </c>
      <c r="J170" s="15" t="str">
        <f t="shared" si="7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6"/>
        <v/>
      </c>
      <c r="J171" s="15" t="str">
        <f t="shared" si="7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6"/>
        <v/>
      </c>
      <c r="J172" s="15" t="str">
        <f t="shared" si="7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6"/>
        <v/>
      </c>
      <c r="J173" s="15" t="str">
        <f t="shared" si="7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6"/>
        <v/>
      </c>
      <c r="J174" s="15" t="str">
        <f t="shared" si="7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6"/>
        <v/>
      </c>
      <c r="J175" s="15" t="str">
        <f t="shared" si="7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6"/>
        <v/>
      </c>
      <c r="J176" s="15" t="str">
        <f t="shared" si="7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6"/>
        <v/>
      </c>
      <c r="J177" s="15" t="str">
        <f t="shared" si="7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6"/>
        <v/>
      </c>
      <c r="J178" s="15" t="str">
        <f t="shared" si="7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6"/>
        <v/>
      </c>
      <c r="J179" s="15" t="str">
        <f t="shared" si="7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6"/>
        <v/>
      </c>
      <c r="J180" s="15" t="str">
        <f t="shared" si="7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6"/>
        <v/>
      </c>
      <c r="J181" s="15" t="str">
        <f t="shared" si="7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6"/>
        <v/>
      </c>
      <c r="J182" s="15" t="str">
        <f t="shared" si="7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6"/>
        <v/>
      </c>
      <c r="J183" s="15" t="str">
        <f t="shared" si="7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6"/>
        <v/>
      </c>
      <c r="J184" s="15" t="str">
        <f t="shared" si="7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6"/>
        <v/>
      </c>
      <c r="J185" s="15" t="str">
        <f t="shared" si="7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6"/>
        <v/>
      </c>
      <c r="J186" s="15" t="str">
        <f t="shared" si="7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6"/>
        <v/>
      </c>
      <c r="J187" s="15" t="str">
        <f t="shared" si="7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6"/>
        <v/>
      </c>
      <c r="J188" s="15" t="str">
        <f t="shared" si="7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6"/>
        <v/>
      </c>
      <c r="J189" s="15" t="str">
        <f t="shared" si="7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6"/>
        <v/>
      </c>
      <c r="J190" s="15" t="str">
        <f t="shared" si="7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6"/>
        <v/>
      </c>
      <c r="J191" s="15" t="str">
        <f t="shared" si="7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6"/>
        <v/>
      </c>
      <c r="J192" s="15" t="str">
        <f t="shared" si="7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6"/>
        <v/>
      </c>
      <c r="J193" s="15" t="str">
        <f t="shared" si="7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6"/>
        <v/>
      </c>
      <c r="J194" s="15" t="str">
        <f t="shared" si="7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6"/>
        <v/>
      </c>
      <c r="J195" s="15" t="str">
        <f t="shared" si="7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6"/>
        <v/>
      </c>
      <c r="J196" s="15" t="str">
        <f t="shared" si="7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6"/>
        <v/>
      </c>
      <c r="J197" s="15" t="str">
        <f t="shared" si="7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si="6"/>
        <v/>
      </c>
      <c r="J198" s="15" t="str">
        <f t="shared" si="7"/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ref="I214:I277" si="8">IF(SUM(B214:F214,H214)=0,"",SUM(B214:F214,H214))</f>
        <v/>
      </c>
      <c r="J214" s="15" t="str">
        <f t="shared" ref="J214:J277" si="9">IF(I214="","",1440-I214)</f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8"/>
        <v/>
      </c>
      <c r="J215" s="15" t="str">
        <f t="shared" si="9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8"/>
        <v/>
      </c>
      <c r="J216" s="15" t="str">
        <f t="shared" si="9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8"/>
        <v/>
      </c>
      <c r="J217" s="15" t="str">
        <f t="shared" si="9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8"/>
        <v/>
      </c>
      <c r="J218" s="15" t="str">
        <f t="shared" si="9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8"/>
        <v/>
      </c>
      <c r="J219" s="15" t="str">
        <f t="shared" si="9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8"/>
        <v/>
      </c>
      <c r="J220" s="15" t="str">
        <f t="shared" si="9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8"/>
        <v/>
      </c>
      <c r="J221" s="15" t="str">
        <f t="shared" si="9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8"/>
        <v/>
      </c>
      <c r="J222" s="15" t="str">
        <f t="shared" si="9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8"/>
        <v/>
      </c>
      <c r="J223" s="15" t="str">
        <f t="shared" si="9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8"/>
        <v/>
      </c>
      <c r="J224" s="15" t="str">
        <f t="shared" si="9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8"/>
        <v/>
      </c>
      <c r="J225" s="15" t="str">
        <f t="shared" si="9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8"/>
        <v/>
      </c>
      <c r="J226" s="15" t="str">
        <f t="shared" si="9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8"/>
        <v/>
      </c>
      <c r="J227" s="15" t="str">
        <f t="shared" si="9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8"/>
        <v/>
      </c>
      <c r="J228" s="15" t="str">
        <f t="shared" si="9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8"/>
        <v/>
      </c>
      <c r="J229" s="15" t="str">
        <f t="shared" si="9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8"/>
        <v/>
      </c>
      <c r="J230" s="15" t="str">
        <f t="shared" si="9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8"/>
        <v/>
      </c>
      <c r="J231" s="15" t="str">
        <f t="shared" si="9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8"/>
        <v/>
      </c>
      <c r="J232" s="15" t="str">
        <f t="shared" si="9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8"/>
        <v/>
      </c>
      <c r="J233" s="15" t="str">
        <f t="shared" si="9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8"/>
        <v/>
      </c>
      <c r="J234" s="15" t="str">
        <f t="shared" si="9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8"/>
        <v/>
      </c>
      <c r="J235" s="15" t="str">
        <f t="shared" si="9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8"/>
        <v/>
      </c>
      <c r="J236" s="15" t="str">
        <f t="shared" si="9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8"/>
        <v/>
      </c>
      <c r="J237" s="15" t="str">
        <f t="shared" si="9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8"/>
        <v/>
      </c>
      <c r="J238" s="15" t="str">
        <f t="shared" si="9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8"/>
        <v/>
      </c>
      <c r="J239" s="15" t="str">
        <f t="shared" si="9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8"/>
        <v/>
      </c>
      <c r="J240" s="15" t="str">
        <f t="shared" si="9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8"/>
        <v/>
      </c>
      <c r="J241" s="15" t="str">
        <f t="shared" si="9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8"/>
        <v/>
      </c>
      <c r="J242" s="15" t="str">
        <f t="shared" si="9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8"/>
        <v/>
      </c>
      <c r="J243" s="15" t="str">
        <f t="shared" si="9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8"/>
        <v/>
      </c>
      <c r="J244" s="15" t="str">
        <f t="shared" si="9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8"/>
        <v/>
      </c>
      <c r="J245" s="15" t="str">
        <f t="shared" si="9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8"/>
        <v/>
      </c>
      <c r="J246" s="15" t="str">
        <f t="shared" si="9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8"/>
        <v/>
      </c>
      <c r="J247" s="15" t="str">
        <f t="shared" si="9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8"/>
        <v/>
      </c>
      <c r="J248" s="15" t="str">
        <f t="shared" si="9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8"/>
        <v/>
      </c>
      <c r="J249" s="15" t="str">
        <f t="shared" si="9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8"/>
        <v/>
      </c>
      <c r="J250" s="15" t="str">
        <f t="shared" si="9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8"/>
        <v/>
      </c>
      <c r="J251" s="15" t="str">
        <f t="shared" si="9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8"/>
        <v/>
      </c>
      <c r="J252" s="15" t="str">
        <f t="shared" si="9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8"/>
        <v/>
      </c>
      <c r="J253" s="15" t="str">
        <f t="shared" si="9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8"/>
        <v/>
      </c>
      <c r="J254" s="15" t="str">
        <f t="shared" si="9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8"/>
        <v/>
      </c>
      <c r="J255" s="15" t="str">
        <f t="shared" si="9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8"/>
        <v/>
      </c>
      <c r="J256" s="15" t="str">
        <f t="shared" si="9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8"/>
        <v/>
      </c>
      <c r="J257" s="15" t="str">
        <f t="shared" si="9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8"/>
        <v/>
      </c>
      <c r="J258" s="15" t="str">
        <f t="shared" si="9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8"/>
        <v/>
      </c>
      <c r="J259" s="15" t="str">
        <f t="shared" si="9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8"/>
        <v/>
      </c>
      <c r="J260" s="15" t="str">
        <f t="shared" si="9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8"/>
        <v/>
      </c>
      <c r="J261" s="15" t="str">
        <f t="shared" si="9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si="8"/>
        <v/>
      </c>
      <c r="J262" s="15" t="str">
        <f t="shared" si="9"/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ref="I278:I341" si="10">IF(SUM(B278:F278,H278)=0,"",SUM(B278:F278,H278))</f>
        <v/>
      </c>
      <c r="J278" s="15" t="str">
        <f t="shared" ref="J278:J341" si="11">IF(I278="","",1440-I278)</f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0"/>
        <v/>
      </c>
      <c r="J279" s="15" t="str">
        <f t="shared" si="11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0"/>
        <v/>
      </c>
      <c r="J280" s="15" t="str">
        <f t="shared" si="11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0"/>
        <v/>
      </c>
      <c r="J281" s="15" t="str">
        <f t="shared" si="11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0"/>
        <v/>
      </c>
      <c r="J282" s="15" t="str">
        <f t="shared" si="11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0"/>
        <v/>
      </c>
      <c r="J283" s="15" t="str">
        <f t="shared" si="11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0"/>
        <v/>
      </c>
      <c r="J284" s="15" t="str">
        <f t="shared" si="11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0"/>
        <v/>
      </c>
      <c r="J285" s="15" t="str">
        <f t="shared" si="11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0"/>
        <v/>
      </c>
      <c r="J286" s="15" t="str">
        <f t="shared" si="11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0"/>
        <v/>
      </c>
      <c r="J287" s="15" t="str">
        <f t="shared" si="11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0"/>
        <v/>
      </c>
      <c r="J288" s="15" t="str">
        <f t="shared" si="11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0"/>
        <v/>
      </c>
      <c r="J289" s="15" t="str">
        <f t="shared" si="11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0"/>
        <v/>
      </c>
      <c r="J290" s="15" t="str">
        <f t="shared" si="11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0"/>
        <v/>
      </c>
      <c r="J291" s="15" t="str">
        <f t="shared" si="11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0"/>
        <v/>
      </c>
      <c r="J292" s="15" t="str">
        <f t="shared" si="11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0"/>
        <v/>
      </c>
      <c r="J293" s="15" t="str">
        <f t="shared" si="11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0"/>
        <v/>
      </c>
      <c r="J294" s="15" t="str">
        <f t="shared" si="11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0"/>
        <v/>
      </c>
      <c r="J295" s="15" t="str">
        <f t="shared" si="11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0"/>
        <v/>
      </c>
      <c r="J296" s="15" t="str">
        <f t="shared" si="11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0"/>
        <v/>
      </c>
      <c r="J297" s="15" t="str">
        <f t="shared" si="11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0"/>
        <v/>
      </c>
      <c r="J298" s="15" t="str">
        <f t="shared" si="11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0"/>
        <v/>
      </c>
      <c r="J299" s="15" t="str">
        <f t="shared" si="11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0"/>
        <v/>
      </c>
      <c r="J300" s="15" t="str">
        <f t="shared" si="11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0"/>
        <v/>
      </c>
      <c r="J301" s="15" t="str">
        <f t="shared" si="11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0"/>
        <v/>
      </c>
      <c r="J302" s="15" t="str">
        <f t="shared" si="11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0"/>
        <v/>
      </c>
      <c r="J303" s="15" t="str">
        <f t="shared" si="11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0"/>
        <v/>
      </c>
      <c r="J304" s="15" t="str">
        <f t="shared" si="11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0"/>
        <v/>
      </c>
      <c r="J305" s="15" t="str">
        <f t="shared" si="11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0"/>
        <v/>
      </c>
      <c r="J306" s="15" t="str">
        <f t="shared" si="11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0"/>
        <v/>
      </c>
      <c r="J307" s="15" t="str">
        <f t="shared" si="11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0"/>
        <v/>
      </c>
      <c r="J308" s="15" t="str">
        <f t="shared" si="11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0"/>
        <v/>
      </c>
      <c r="J309" s="15" t="str">
        <f t="shared" si="11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0"/>
        <v/>
      </c>
      <c r="J310" s="15" t="str">
        <f t="shared" si="11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0"/>
        <v/>
      </c>
      <c r="J311" s="15" t="str">
        <f t="shared" si="11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0"/>
        <v/>
      </c>
      <c r="J312" s="15" t="str">
        <f t="shared" si="11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0"/>
        <v/>
      </c>
      <c r="J313" s="15" t="str">
        <f t="shared" si="11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0"/>
        <v/>
      </c>
      <c r="J314" s="15" t="str">
        <f t="shared" si="11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0"/>
        <v/>
      </c>
      <c r="J315" s="15" t="str">
        <f t="shared" si="11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0"/>
        <v/>
      </c>
      <c r="J316" s="15" t="str">
        <f t="shared" si="11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0"/>
        <v/>
      </c>
      <c r="J317" s="15" t="str">
        <f t="shared" si="11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0"/>
        <v/>
      </c>
      <c r="J318" s="15" t="str">
        <f t="shared" si="11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0"/>
        <v/>
      </c>
      <c r="J319" s="15" t="str">
        <f t="shared" si="11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0"/>
        <v/>
      </c>
      <c r="J320" s="15" t="str">
        <f t="shared" si="11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0"/>
        <v/>
      </c>
      <c r="J321" s="15" t="str">
        <f t="shared" si="11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0"/>
        <v/>
      </c>
      <c r="J322" s="15" t="str">
        <f t="shared" si="11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0"/>
        <v/>
      </c>
      <c r="J323" s="15" t="str">
        <f t="shared" si="11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0"/>
        <v/>
      </c>
      <c r="J324" s="15" t="str">
        <f t="shared" si="11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0"/>
        <v/>
      </c>
      <c r="J325" s="15" t="str">
        <f t="shared" si="11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si="10"/>
        <v/>
      </c>
      <c r="J326" s="15" t="str">
        <f t="shared" si="11"/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ref="I342:I405" si="12">IF(SUM(B342:F342,H342)=0,"",SUM(B342:F342,H342))</f>
        <v/>
      </c>
      <c r="J342" s="15" t="str">
        <f t="shared" ref="J342:J405" si="13">IF(I342="","",1440-I342)</f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2"/>
        <v/>
      </c>
      <c r="J343" s="15" t="str">
        <f t="shared" si="13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2"/>
        <v/>
      </c>
      <c r="J344" s="15" t="str">
        <f t="shared" si="13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2"/>
        <v/>
      </c>
      <c r="J345" s="15" t="str">
        <f t="shared" si="13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2"/>
        <v/>
      </c>
      <c r="J346" s="15" t="str">
        <f t="shared" si="13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2"/>
        <v/>
      </c>
      <c r="J347" s="15" t="str">
        <f t="shared" si="13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2"/>
        <v/>
      </c>
      <c r="J348" s="15" t="str">
        <f t="shared" si="13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2"/>
        <v/>
      </c>
      <c r="J349" s="15" t="str">
        <f t="shared" si="13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2"/>
        <v/>
      </c>
      <c r="J350" s="15" t="str">
        <f t="shared" si="13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2"/>
        <v/>
      </c>
      <c r="J351" s="15" t="str">
        <f t="shared" si="13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2"/>
        <v/>
      </c>
      <c r="J352" s="15" t="str">
        <f t="shared" si="13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2"/>
        <v/>
      </c>
      <c r="J353" s="15" t="str">
        <f t="shared" si="13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2"/>
        <v/>
      </c>
      <c r="J354" s="15" t="str">
        <f t="shared" si="13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2"/>
        <v/>
      </c>
      <c r="J355" s="15" t="str">
        <f t="shared" si="13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2"/>
        <v/>
      </c>
      <c r="J356" s="15" t="str">
        <f t="shared" si="13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2"/>
        <v/>
      </c>
      <c r="J357" s="15" t="str">
        <f t="shared" si="13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2"/>
        <v/>
      </c>
      <c r="J358" s="15" t="str">
        <f t="shared" si="13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2"/>
        <v/>
      </c>
      <c r="J359" s="15" t="str">
        <f t="shared" si="13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2"/>
        <v/>
      </c>
      <c r="J360" s="15" t="str">
        <f t="shared" si="13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2"/>
        <v/>
      </c>
      <c r="J361" s="15" t="str">
        <f t="shared" si="13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2"/>
        <v/>
      </c>
      <c r="J362" s="15" t="str">
        <f t="shared" si="13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2"/>
        <v/>
      </c>
      <c r="J363" s="15" t="str">
        <f t="shared" si="13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2"/>
        <v/>
      </c>
      <c r="J364" s="15" t="str">
        <f t="shared" si="13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2"/>
        <v/>
      </c>
      <c r="J365" s="15" t="str">
        <f t="shared" si="13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2"/>
        <v/>
      </c>
      <c r="J366" s="15" t="str">
        <f t="shared" si="13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2"/>
        <v/>
      </c>
      <c r="J367" s="15" t="str">
        <f t="shared" si="13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2"/>
        <v/>
      </c>
      <c r="J368" s="15" t="str">
        <f t="shared" si="13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2"/>
        <v/>
      </c>
      <c r="J369" s="15" t="str">
        <f t="shared" si="13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2"/>
        <v/>
      </c>
      <c r="J370" s="15" t="str">
        <f t="shared" si="13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2"/>
        <v/>
      </c>
      <c r="J371" s="15" t="str">
        <f t="shared" si="13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2"/>
        <v/>
      </c>
      <c r="J372" s="15" t="str">
        <f t="shared" si="13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2"/>
        <v/>
      </c>
      <c r="J373" s="15" t="str">
        <f t="shared" si="13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2"/>
        <v/>
      </c>
      <c r="J374" s="15" t="str">
        <f t="shared" si="13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2"/>
        <v/>
      </c>
      <c r="J375" s="15" t="str">
        <f t="shared" si="13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2"/>
        <v/>
      </c>
      <c r="J376" s="15" t="str">
        <f t="shared" si="13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2"/>
        <v/>
      </c>
      <c r="J377" s="15" t="str">
        <f t="shared" si="13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2"/>
        <v/>
      </c>
      <c r="J378" s="15" t="str">
        <f t="shared" si="13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2"/>
        <v/>
      </c>
      <c r="J379" s="15" t="str">
        <f t="shared" si="13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2"/>
        <v/>
      </c>
      <c r="J380" s="15" t="str">
        <f t="shared" si="13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2"/>
        <v/>
      </c>
      <c r="J381" s="15" t="str">
        <f t="shared" si="13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2"/>
        <v/>
      </c>
      <c r="J382" s="15" t="str">
        <f t="shared" si="13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2"/>
        <v/>
      </c>
      <c r="J383" s="15" t="str">
        <f t="shared" si="13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2"/>
        <v/>
      </c>
      <c r="J384" s="15" t="str">
        <f t="shared" si="13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2"/>
        <v/>
      </c>
      <c r="J385" s="15" t="str">
        <f t="shared" si="13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2"/>
        <v/>
      </c>
      <c r="J386" s="15" t="str">
        <f t="shared" si="13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2"/>
        <v/>
      </c>
      <c r="J387" s="15" t="str">
        <f t="shared" si="13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2"/>
        <v/>
      </c>
      <c r="J388" s="15" t="str">
        <f t="shared" si="13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2"/>
        <v/>
      </c>
      <c r="J389" s="15" t="str">
        <f t="shared" si="13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si="12"/>
        <v/>
      </c>
      <c r="J390" s="15" t="str">
        <f t="shared" si="13"/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  <row r="402" spans="1:14" x14ac:dyDescent="0.3">
      <c r="A402" s="13"/>
      <c r="B402" s="14"/>
      <c r="C402" s="14"/>
      <c r="D402" s="14"/>
      <c r="E402" s="14"/>
      <c r="F402" s="14"/>
      <c r="G402" s="14"/>
      <c r="H402" s="14"/>
      <c r="I402" s="15" t="str">
        <f t="shared" si="12"/>
        <v/>
      </c>
      <c r="J402" s="15" t="str">
        <f t="shared" si="13"/>
        <v/>
      </c>
      <c r="K402" s="16"/>
      <c r="L402" s="16"/>
      <c r="M402" s="16"/>
      <c r="N402" s="17"/>
    </row>
    <row r="403" spans="1:14" x14ac:dyDescent="0.3">
      <c r="A403" s="13"/>
      <c r="B403" s="14"/>
      <c r="C403" s="14"/>
      <c r="D403" s="14"/>
      <c r="E403" s="14"/>
      <c r="F403" s="14"/>
      <c r="G403" s="14"/>
      <c r="H403" s="14"/>
      <c r="I403" s="15" t="str">
        <f t="shared" si="12"/>
        <v/>
      </c>
      <c r="J403" s="15" t="str">
        <f t="shared" si="13"/>
        <v/>
      </c>
      <c r="K403" s="16"/>
      <c r="L403" s="16"/>
      <c r="M403" s="16"/>
      <c r="N403" s="17"/>
    </row>
    <row r="404" spans="1:14" x14ac:dyDescent="0.3">
      <c r="A404" s="13"/>
      <c r="B404" s="14"/>
      <c r="C404" s="14"/>
      <c r="D404" s="14"/>
      <c r="E404" s="14"/>
      <c r="F404" s="14"/>
      <c r="G404" s="14"/>
      <c r="H404" s="14"/>
      <c r="I404" s="15" t="str">
        <f t="shared" si="12"/>
        <v/>
      </c>
      <c r="J404" s="15" t="str">
        <f t="shared" si="13"/>
        <v/>
      </c>
      <c r="K404" s="16"/>
      <c r="L404" s="16"/>
      <c r="M404" s="16"/>
      <c r="N404" s="17"/>
    </row>
    <row r="405" spans="1:14" x14ac:dyDescent="0.3">
      <c r="A405" s="13"/>
      <c r="B405" s="14"/>
      <c r="C405" s="14"/>
      <c r="D405" s="14"/>
      <c r="E405" s="14"/>
      <c r="F405" s="14"/>
      <c r="G405" s="14"/>
      <c r="H405" s="14"/>
      <c r="I405" s="15" t="str">
        <f t="shared" si="12"/>
        <v/>
      </c>
      <c r="J405" s="15" t="str">
        <f t="shared" si="13"/>
        <v/>
      </c>
      <c r="K405" s="16"/>
      <c r="L405" s="16"/>
      <c r="M405" s="16"/>
      <c r="N405" s="17"/>
    </row>
    <row r="406" spans="1:14" x14ac:dyDescent="0.3">
      <c r="A406" s="13"/>
      <c r="B406" s="14"/>
      <c r="C406" s="14"/>
      <c r="D406" s="14"/>
      <c r="E406" s="14"/>
      <c r="F406" s="14"/>
      <c r="G406" s="14"/>
      <c r="H406" s="14"/>
      <c r="I406" s="15" t="str">
        <f t="shared" ref="I406:I417" si="14">IF(SUM(B406:F406,H406)=0,"",SUM(B406:F406,H406))</f>
        <v/>
      </c>
      <c r="J406" s="15" t="str">
        <f t="shared" ref="J406:J417" si="15">IF(I406="","",1440-I406)</f>
        <v/>
      </c>
      <c r="K406" s="16"/>
      <c r="L406" s="16"/>
      <c r="M406" s="16"/>
      <c r="N406" s="17"/>
    </row>
    <row r="407" spans="1:14" x14ac:dyDescent="0.3">
      <c r="A407" s="13"/>
      <c r="B407" s="14"/>
      <c r="C407" s="14"/>
      <c r="D407" s="14"/>
      <c r="E407" s="14"/>
      <c r="F407" s="14"/>
      <c r="G407" s="14"/>
      <c r="H407" s="14"/>
      <c r="I407" s="15" t="str">
        <f t="shared" si="14"/>
        <v/>
      </c>
      <c r="J407" s="15" t="str">
        <f t="shared" si="15"/>
        <v/>
      </c>
      <c r="K407" s="16"/>
      <c r="L407" s="16"/>
      <c r="M407" s="16"/>
      <c r="N407" s="17"/>
    </row>
    <row r="408" spans="1:14" x14ac:dyDescent="0.3">
      <c r="A408" s="13"/>
      <c r="B408" s="14"/>
      <c r="C408" s="14"/>
      <c r="D408" s="14"/>
      <c r="E408" s="14"/>
      <c r="F408" s="14"/>
      <c r="G408" s="14"/>
      <c r="H408" s="14"/>
      <c r="I408" s="15" t="str">
        <f t="shared" si="14"/>
        <v/>
      </c>
      <c r="J408" s="15" t="str">
        <f t="shared" si="15"/>
        <v/>
      </c>
      <c r="K408" s="16"/>
      <c r="L408" s="16"/>
      <c r="M408" s="16"/>
      <c r="N408" s="17"/>
    </row>
    <row r="409" spans="1:14" x14ac:dyDescent="0.3">
      <c r="A409" s="13"/>
      <c r="B409" s="14"/>
      <c r="C409" s="14"/>
      <c r="D409" s="14"/>
      <c r="E409" s="14"/>
      <c r="F409" s="14"/>
      <c r="G409" s="14"/>
      <c r="H409" s="14"/>
      <c r="I409" s="15" t="str">
        <f t="shared" si="14"/>
        <v/>
      </c>
      <c r="J409" s="15" t="str">
        <f t="shared" si="15"/>
        <v/>
      </c>
      <c r="K409" s="16"/>
      <c r="L409" s="16"/>
      <c r="M409" s="16"/>
      <c r="N409" s="17"/>
    </row>
    <row r="410" spans="1:14" x14ac:dyDescent="0.3">
      <c r="A410" s="13"/>
      <c r="B410" s="14"/>
      <c r="C410" s="14"/>
      <c r="D410" s="14"/>
      <c r="E410" s="14"/>
      <c r="F410" s="14"/>
      <c r="G410" s="14"/>
      <c r="H410" s="14"/>
      <c r="I410" s="15" t="str">
        <f t="shared" si="14"/>
        <v/>
      </c>
      <c r="J410" s="15" t="str">
        <f t="shared" si="15"/>
        <v/>
      </c>
      <c r="K410" s="16"/>
      <c r="L410" s="16"/>
      <c r="M410" s="16"/>
      <c r="N410" s="17"/>
    </row>
    <row r="411" spans="1:14" x14ac:dyDescent="0.3">
      <c r="A411" s="13"/>
      <c r="B411" s="14"/>
      <c r="C411" s="14"/>
      <c r="D411" s="14"/>
      <c r="E411" s="14"/>
      <c r="F411" s="14"/>
      <c r="G411" s="14"/>
      <c r="H411" s="14"/>
      <c r="I411" s="15" t="str">
        <f t="shared" si="14"/>
        <v/>
      </c>
      <c r="J411" s="15" t="str">
        <f t="shared" si="15"/>
        <v/>
      </c>
      <c r="K411" s="16"/>
      <c r="L411" s="16"/>
      <c r="M411" s="16"/>
      <c r="N411" s="17"/>
    </row>
    <row r="412" spans="1:14" x14ac:dyDescent="0.3">
      <c r="A412" s="13"/>
      <c r="B412" s="14"/>
      <c r="C412" s="14"/>
      <c r="D412" s="14"/>
      <c r="E412" s="14"/>
      <c r="F412" s="14"/>
      <c r="G412" s="14"/>
      <c r="H412" s="14"/>
      <c r="I412" s="15" t="str">
        <f t="shared" si="14"/>
        <v/>
      </c>
      <c r="J412" s="15" t="str">
        <f t="shared" si="15"/>
        <v/>
      </c>
      <c r="K412" s="16"/>
      <c r="L412" s="16"/>
      <c r="M412" s="16"/>
      <c r="N412" s="17"/>
    </row>
    <row r="413" spans="1:14" x14ac:dyDescent="0.3">
      <c r="A413" s="13"/>
      <c r="B413" s="14"/>
      <c r="C413" s="14"/>
      <c r="D413" s="14"/>
      <c r="E413" s="14"/>
      <c r="F413" s="14"/>
      <c r="G413" s="14"/>
      <c r="H413" s="14"/>
      <c r="I413" s="15" t="str">
        <f t="shared" si="14"/>
        <v/>
      </c>
      <c r="J413" s="15" t="str">
        <f t="shared" si="15"/>
        <v/>
      </c>
      <c r="K413" s="16"/>
      <c r="L413" s="16"/>
      <c r="M413" s="16"/>
      <c r="N413" s="17"/>
    </row>
    <row r="414" spans="1:14" x14ac:dyDescent="0.3">
      <c r="A414" s="13"/>
      <c r="B414" s="14"/>
      <c r="C414" s="14"/>
      <c r="D414" s="14"/>
      <c r="E414" s="14"/>
      <c r="F414" s="14"/>
      <c r="G414" s="14"/>
      <c r="H414" s="14"/>
      <c r="I414" s="15" t="str">
        <f t="shared" si="14"/>
        <v/>
      </c>
      <c r="J414" s="15" t="str">
        <f t="shared" si="15"/>
        <v/>
      </c>
      <c r="K414" s="16"/>
      <c r="L414" s="16"/>
      <c r="M414" s="16"/>
      <c r="N414" s="17"/>
    </row>
    <row r="415" spans="1:14" x14ac:dyDescent="0.3">
      <c r="A415" s="13"/>
      <c r="B415" s="14"/>
      <c r="C415" s="14"/>
      <c r="D415" s="14"/>
      <c r="E415" s="14"/>
      <c r="F415" s="14"/>
      <c r="G415" s="14"/>
      <c r="H415" s="14"/>
      <c r="I415" s="15" t="str">
        <f t="shared" si="14"/>
        <v/>
      </c>
      <c r="J415" s="15" t="str">
        <f t="shared" si="15"/>
        <v/>
      </c>
      <c r="K415" s="16"/>
      <c r="L415" s="16"/>
      <c r="M415" s="16"/>
      <c r="N415" s="17"/>
    </row>
    <row r="416" spans="1:14" x14ac:dyDescent="0.3">
      <c r="A416" s="13"/>
      <c r="B416" s="14"/>
      <c r="C416" s="14"/>
      <c r="D416" s="14"/>
      <c r="E416" s="14"/>
      <c r="F416" s="14"/>
      <c r="G416" s="14"/>
      <c r="H416" s="14"/>
      <c r="I416" s="15" t="str">
        <f t="shared" si="14"/>
        <v/>
      </c>
      <c r="J416" s="15" t="str">
        <f t="shared" si="15"/>
        <v/>
      </c>
      <c r="K416" s="16"/>
      <c r="L416" s="16"/>
      <c r="M416" s="16"/>
      <c r="N416" s="17"/>
    </row>
    <row r="417" spans="1:14" x14ac:dyDescent="0.3">
      <c r="A417" s="13"/>
      <c r="B417" s="14"/>
      <c r="C417" s="14"/>
      <c r="D417" s="14"/>
      <c r="E417" s="14"/>
      <c r="F417" s="14"/>
      <c r="G417" s="14"/>
      <c r="H417" s="14"/>
      <c r="I417" s="15" t="str">
        <f t="shared" si="14"/>
        <v/>
      </c>
      <c r="J417" s="15" t="str">
        <f t="shared" si="15"/>
        <v/>
      </c>
      <c r="K417" s="16"/>
      <c r="L417" s="16"/>
      <c r="M417" s="16"/>
      <c r="N417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17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17" xr:uid="{00000000-0002-0000-0100-000000000000}">
      <formula1>"Excellent,Good,Neutral,Low,Stressed"</formula1>
      <formula2>0</formula2>
    </dataValidation>
    <dataValidation type="list" allowBlank="1" prompt="Select today's satisfaction level" sqref="L6:L417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17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Olen _</cp:lastModifiedBy>
  <cp:revision>0</cp:revision>
  <cp:lastPrinted>2026-09-25T08:40:38Z</cp:lastPrinted>
  <dcterms:created xsi:type="dcterms:W3CDTF">2026-07-24T11:49:30Z</dcterms:created>
  <dcterms:modified xsi:type="dcterms:W3CDTF">2026-10-01T07:40:12Z</dcterms:modified>
  <dc:language>en-US</dc:language>
</cp:coreProperties>
</file>